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androfato/Documents/eclipse-workspace/Deliverable1/"/>
    </mc:Choice>
  </mc:AlternateContent>
  <xr:revisionPtr revIDLastSave="0" documentId="13_ncr:1_{0F9710E0-35BF-A540-A2B3-BB9E22A3448F}" xr6:coauthVersionLast="46" xr6:coauthVersionMax="46" xr10:uidLastSave="{00000000-0000-0000-0000-000000000000}"/>
  <bookViews>
    <workbookView xWindow="380" yWindow="500" windowWidth="28040" windowHeight="16020" xr2:uid="{556DB451-50A6-0D44-B166-E2D864CAA027}"/>
  </bookViews>
  <sheets>
    <sheet name="Foglio1" sheetId="1" r:id="rId1"/>
  </sheets>
  <definedNames>
    <definedName name="data" localSheetId="0">Foglio1!$A$1:$B$65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C14" i="1"/>
  <c r="C6" i="1"/>
  <c r="F2" i="1" s="1"/>
  <c r="C10" i="1"/>
  <c r="E93" i="1" s="1"/>
  <c r="G93" i="1" s="1"/>
  <c r="C2" i="1"/>
  <c r="F85" i="1" l="1"/>
  <c r="F53" i="1"/>
  <c r="F29" i="1"/>
  <c r="F5" i="1"/>
  <c r="F91" i="1"/>
  <c r="F67" i="1"/>
  <c r="F43" i="1"/>
  <c r="F27" i="1"/>
  <c r="F3" i="1"/>
  <c r="E19" i="1"/>
  <c r="G19" i="1" s="1"/>
  <c r="E35" i="1"/>
  <c r="G35" i="1" s="1"/>
  <c r="E59" i="1"/>
  <c r="G59" i="1" s="1"/>
  <c r="E67" i="1"/>
  <c r="G67" i="1" s="1"/>
  <c r="E91" i="1"/>
  <c r="G91" i="1" s="1"/>
  <c r="F98" i="1"/>
  <c r="F90" i="1"/>
  <c r="F96" i="1"/>
  <c r="F88" i="1"/>
  <c r="F80" i="1"/>
  <c r="F72" i="1"/>
  <c r="F64" i="1"/>
  <c r="F56" i="1"/>
  <c r="F48" i="1"/>
  <c r="F40" i="1"/>
  <c r="F32" i="1"/>
  <c r="F24" i="1"/>
  <c r="F16" i="1"/>
  <c r="F8" i="1"/>
  <c r="E6" i="1"/>
  <c r="G6" i="1" s="1"/>
  <c r="E14" i="1"/>
  <c r="G14" i="1" s="1"/>
  <c r="E22" i="1"/>
  <c r="G22" i="1" s="1"/>
  <c r="E30" i="1"/>
  <c r="G30" i="1" s="1"/>
  <c r="E38" i="1"/>
  <c r="G38" i="1" s="1"/>
  <c r="E46" i="1"/>
  <c r="G46" i="1" s="1"/>
  <c r="E54" i="1"/>
  <c r="G54" i="1" s="1"/>
  <c r="E62" i="1"/>
  <c r="G62" i="1" s="1"/>
  <c r="E70" i="1"/>
  <c r="G70" i="1" s="1"/>
  <c r="E78" i="1"/>
  <c r="G78" i="1" s="1"/>
  <c r="E86" i="1"/>
  <c r="G86" i="1" s="1"/>
  <c r="E94" i="1"/>
  <c r="G94" i="1" s="1"/>
  <c r="F69" i="1"/>
  <c r="F13" i="1"/>
  <c r="F83" i="1"/>
  <c r="F95" i="1"/>
  <c r="F87" i="1"/>
  <c r="F79" i="1"/>
  <c r="F71" i="1"/>
  <c r="F63" i="1"/>
  <c r="F55" i="1"/>
  <c r="F47" i="1"/>
  <c r="F39" i="1"/>
  <c r="F31" i="1"/>
  <c r="F23" i="1"/>
  <c r="F15" i="1"/>
  <c r="F7" i="1"/>
  <c r="E7" i="1"/>
  <c r="G7" i="1" s="1"/>
  <c r="E15" i="1"/>
  <c r="G15" i="1" s="1"/>
  <c r="E23" i="1"/>
  <c r="G23" i="1" s="1"/>
  <c r="E31" i="1"/>
  <c r="G31" i="1" s="1"/>
  <c r="E39" i="1"/>
  <c r="G39" i="1" s="1"/>
  <c r="E47" i="1"/>
  <c r="G47" i="1" s="1"/>
  <c r="E55" i="1"/>
  <c r="G55" i="1" s="1"/>
  <c r="E63" i="1"/>
  <c r="G63" i="1" s="1"/>
  <c r="E71" i="1"/>
  <c r="G71" i="1" s="1"/>
  <c r="E79" i="1"/>
  <c r="G79" i="1" s="1"/>
  <c r="E87" i="1"/>
  <c r="G87" i="1" s="1"/>
  <c r="E95" i="1"/>
  <c r="G95" i="1" s="1"/>
  <c r="F45" i="1"/>
  <c r="F94" i="1"/>
  <c r="F86" i="1"/>
  <c r="F78" i="1"/>
  <c r="F70" i="1"/>
  <c r="F62" i="1"/>
  <c r="F54" i="1"/>
  <c r="F46" i="1"/>
  <c r="F38" i="1"/>
  <c r="F30" i="1"/>
  <c r="F22" i="1"/>
  <c r="F14" i="1"/>
  <c r="F6" i="1"/>
  <c r="E8" i="1"/>
  <c r="G8" i="1" s="1"/>
  <c r="E16" i="1"/>
  <c r="G16" i="1" s="1"/>
  <c r="E24" i="1"/>
  <c r="G24" i="1" s="1"/>
  <c r="E32" i="1"/>
  <c r="G32" i="1" s="1"/>
  <c r="E40" i="1"/>
  <c r="G40" i="1" s="1"/>
  <c r="E48" i="1"/>
  <c r="G48" i="1" s="1"/>
  <c r="E56" i="1"/>
  <c r="G56" i="1" s="1"/>
  <c r="E64" i="1"/>
  <c r="G64" i="1" s="1"/>
  <c r="E72" i="1"/>
  <c r="G72" i="1" s="1"/>
  <c r="E80" i="1"/>
  <c r="G80" i="1" s="1"/>
  <c r="E88" i="1"/>
  <c r="G88" i="1" s="1"/>
  <c r="E96" i="1"/>
  <c r="G96" i="1" s="1"/>
  <c r="F77" i="1"/>
  <c r="E9" i="1"/>
  <c r="G9" i="1" s="1"/>
  <c r="E17" i="1"/>
  <c r="G17" i="1" s="1"/>
  <c r="E25" i="1"/>
  <c r="G25" i="1" s="1"/>
  <c r="E33" i="1"/>
  <c r="G33" i="1" s="1"/>
  <c r="E41" i="1"/>
  <c r="G41" i="1" s="1"/>
  <c r="E49" i="1"/>
  <c r="G49" i="1" s="1"/>
  <c r="E57" i="1"/>
  <c r="G57" i="1" s="1"/>
  <c r="E65" i="1"/>
  <c r="G65" i="1" s="1"/>
  <c r="E73" i="1"/>
  <c r="G73" i="1" s="1"/>
  <c r="E81" i="1"/>
  <c r="G81" i="1" s="1"/>
  <c r="E89" i="1"/>
  <c r="G89" i="1" s="1"/>
  <c r="E97" i="1"/>
  <c r="G97" i="1" s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E2" i="1"/>
  <c r="G2" i="1" s="1"/>
  <c r="E10" i="1"/>
  <c r="G10" i="1" s="1"/>
  <c r="E18" i="1"/>
  <c r="G18" i="1" s="1"/>
  <c r="E26" i="1"/>
  <c r="G26" i="1" s="1"/>
  <c r="E34" i="1"/>
  <c r="G34" i="1" s="1"/>
  <c r="E42" i="1"/>
  <c r="G42" i="1" s="1"/>
  <c r="E50" i="1"/>
  <c r="G50" i="1" s="1"/>
  <c r="E58" i="1"/>
  <c r="G58" i="1" s="1"/>
  <c r="E66" i="1"/>
  <c r="G66" i="1" s="1"/>
  <c r="E74" i="1"/>
  <c r="G74" i="1" s="1"/>
  <c r="E82" i="1"/>
  <c r="G82" i="1" s="1"/>
  <c r="E90" i="1"/>
  <c r="G90" i="1" s="1"/>
  <c r="E98" i="1"/>
  <c r="G98" i="1" s="1"/>
  <c r="F37" i="1"/>
  <c r="F59" i="1"/>
  <c r="F19" i="1"/>
  <c r="E11" i="1"/>
  <c r="G11" i="1" s="1"/>
  <c r="E43" i="1"/>
  <c r="G43" i="1" s="1"/>
  <c r="E83" i="1"/>
  <c r="G83" i="1" s="1"/>
  <c r="F74" i="1"/>
  <c r="F50" i="1"/>
  <c r="F42" i="1"/>
  <c r="F34" i="1"/>
  <c r="F26" i="1"/>
  <c r="F18" i="1"/>
  <c r="F10" i="1"/>
  <c r="E4" i="1"/>
  <c r="G4" i="1" s="1"/>
  <c r="E12" i="1"/>
  <c r="G12" i="1" s="1"/>
  <c r="E20" i="1"/>
  <c r="G20" i="1" s="1"/>
  <c r="E28" i="1"/>
  <c r="G28" i="1" s="1"/>
  <c r="E36" i="1"/>
  <c r="G36" i="1" s="1"/>
  <c r="E44" i="1"/>
  <c r="G44" i="1" s="1"/>
  <c r="E52" i="1"/>
  <c r="G52" i="1" s="1"/>
  <c r="E60" i="1"/>
  <c r="G60" i="1" s="1"/>
  <c r="E68" i="1"/>
  <c r="G68" i="1" s="1"/>
  <c r="E76" i="1"/>
  <c r="G76" i="1" s="1"/>
  <c r="E84" i="1"/>
  <c r="G84" i="1" s="1"/>
  <c r="E92" i="1"/>
  <c r="G92" i="1" s="1"/>
  <c r="E100" i="1"/>
  <c r="G100" i="1" s="1"/>
  <c r="F93" i="1"/>
  <c r="F61" i="1"/>
  <c r="F21" i="1"/>
  <c r="F99" i="1"/>
  <c r="F75" i="1"/>
  <c r="F51" i="1"/>
  <c r="F35" i="1"/>
  <c r="F11" i="1"/>
  <c r="E3" i="1"/>
  <c r="G3" i="1" s="1"/>
  <c r="E27" i="1"/>
  <c r="G27" i="1" s="1"/>
  <c r="E51" i="1"/>
  <c r="G51" i="1" s="1"/>
  <c r="E75" i="1"/>
  <c r="G75" i="1" s="1"/>
  <c r="E99" i="1"/>
  <c r="G99" i="1" s="1"/>
  <c r="F82" i="1"/>
  <c r="F66" i="1"/>
  <c r="F58" i="1"/>
  <c r="F97" i="1"/>
  <c r="F89" i="1"/>
  <c r="F81" i="1"/>
  <c r="F73" i="1"/>
  <c r="F65" i="1"/>
  <c r="F57" i="1"/>
  <c r="F49" i="1"/>
  <c r="F41" i="1"/>
  <c r="F33" i="1"/>
  <c r="F25" i="1"/>
  <c r="F17" i="1"/>
  <c r="F9" i="1"/>
  <c r="E5" i="1"/>
  <c r="G5" i="1" s="1"/>
  <c r="E13" i="1"/>
  <c r="G13" i="1" s="1"/>
  <c r="E21" i="1"/>
  <c r="G21" i="1" s="1"/>
  <c r="E29" i="1"/>
  <c r="G29" i="1" s="1"/>
  <c r="E37" i="1"/>
  <c r="G37" i="1" s="1"/>
  <c r="E45" i="1"/>
  <c r="G45" i="1" s="1"/>
  <c r="E53" i="1"/>
  <c r="G53" i="1" s="1"/>
  <c r="E61" i="1"/>
  <c r="G61" i="1" s="1"/>
  <c r="E69" i="1"/>
  <c r="G69" i="1" s="1"/>
  <c r="E77" i="1"/>
  <c r="G77" i="1" s="1"/>
  <c r="E85" i="1"/>
  <c r="G8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4A7D3-1D12-8B47-8F69-1D351E4136BE}" name="data" type="6" refreshedVersion="7" background="1" saveData="1">
    <textPr sourceFile="/Users/alessandrofato/Documents/eclipse-workspace/Deliverable1/data.csv" decimal="," thousands="." comma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<sst xmlns="http://schemas.openxmlformats.org/spreadsheetml/2006/main" count="11" uniqueCount="10">
  <si>
    <t>Total number of fixed issue</t>
  </si>
  <si>
    <t>Mean</t>
  </si>
  <si>
    <t>Standard deviation</t>
  </si>
  <si>
    <t>Number of month</t>
  </si>
  <si>
    <t>First date</t>
  </si>
  <si>
    <t>Last date</t>
  </si>
  <si>
    <t>mean + 3*std</t>
  </si>
  <si>
    <t>mean - 3*Std</t>
  </si>
  <si>
    <t>Date (M-Y)</t>
  </si>
  <si>
    <t>Fixed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</si>
</sst>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410]mmm\-yy;@"/>
  </numFmts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164" fontId="1" fillId="0" borderId="6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7" fontId="2" fillId="0" borderId="0" xfId="0" applyNumberFormat="1" applyFont="1" applyBorder="1" applyAlignment="1">
      <alignment horizontal="center" vertical="center"/>
    </xf>
    <xf numFmtId="17" fontId="2" fillId="0" borderId="9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center" vertical="center"/>
    </xf>
    <xf numFmtId="1" fontId="1" fillId="2" borderId="20" xfId="0" applyNumberFormat="1" applyFont="1" applyFill="1" applyBorder="1" applyAlignment="1">
      <alignment horizontal="center" vertical="center"/>
    </xf>
    <xf numFmtId="165" fontId="1" fillId="2" borderId="14" xfId="0" applyNumberFormat="1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7" fontId="2" fillId="4" borderId="5" xfId="0" applyNumberFormat="1" applyFont="1" applyFill="1" applyBorder="1" applyAlignment="1">
      <alignment horizontal="center" vertical="center"/>
    </xf>
    <xf numFmtId="17" fontId="2" fillId="4" borderId="3" xfId="0" applyNumberFormat="1" applyFont="1" applyFill="1" applyBorder="1" applyAlignment="1">
      <alignment horizontal="center" vertical="center"/>
    </xf>
    <xf numFmtId="17" fontId="2" fillId="4" borderId="11" xfId="0" applyNumberFormat="1" applyFont="1" applyFill="1" applyBorder="1" applyAlignment="1">
      <alignment horizontal="center" vertical="center"/>
    </xf>
    <xf numFmtId="17" fontId="2" fillId="4" borderId="12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469385547679568E-2"/>
          <c:y val="0.12823610276806394"/>
          <c:w val="0.93543669719388511"/>
          <c:h val="0.77965751322199583"/>
        </c:manualLayout>
      </c:layout>
      <c:lineChart>
        <c:grouping val="standard"/>
        <c:varyColors val="0"/>
        <c:ser>
          <c:idx val="0"/>
          <c:order val="0"/>
          <c:tx>
            <c:v>Fixed issues for each month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Foglio1!$A$2:$A$101</c:f>
              <c:numCache>
                <c:formatCode>mmm\-yy</c:formatCode>
                <c:ptCount val="100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  <c:pt idx="25">
                  <c:v>42156</c:v>
                </c:pt>
                <c:pt idx="26">
                  <c:v>42186</c:v>
                </c:pt>
                <c:pt idx="27">
                  <c:v>42217</c:v>
                </c:pt>
                <c:pt idx="28">
                  <c:v>42248</c:v>
                </c:pt>
                <c:pt idx="29">
                  <c:v>42278</c:v>
                </c:pt>
                <c:pt idx="30">
                  <c:v>42309</c:v>
                </c:pt>
                <c:pt idx="31">
                  <c:v>42339</c:v>
                </c:pt>
                <c:pt idx="32">
                  <c:v>42370</c:v>
                </c:pt>
                <c:pt idx="33">
                  <c:v>42401</c:v>
                </c:pt>
                <c:pt idx="34">
                  <c:v>42430</c:v>
                </c:pt>
                <c:pt idx="35">
                  <c:v>42461</c:v>
                </c:pt>
                <c:pt idx="36">
                  <c:v>42491</c:v>
                </c:pt>
                <c:pt idx="37">
                  <c:v>42522</c:v>
                </c:pt>
                <c:pt idx="38">
                  <c:v>42552</c:v>
                </c:pt>
                <c:pt idx="39">
                  <c:v>42583</c:v>
                </c:pt>
                <c:pt idx="40">
                  <c:v>42614</c:v>
                </c:pt>
                <c:pt idx="41">
                  <c:v>42644</c:v>
                </c:pt>
                <c:pt idx="42">
                  <c:v>42675</c:v>
                </c:pt>
                <c:pt idx="43">
                  <c:v>42705</c:v>
                </c:pt>
                <c:pt idx="44">
                  <c:v>42736</c:v>
                </c:pt>
                <c:pt idx="45">
                  <c:v>42767</c:v>
                </c:pt>
                <c:pt idx="46">
                  <c:v>42795</c:v>
                </c:pt>
                <c:pt idx="47">
                  <c:v>42826</c:v>
                </c:pt>
                <c:pt idx="48">
                  <c:v>42856</c:v>
                </c:pt>
                <c:pt idx="49">
                  <c:v>42887</c:v>
                </c:pt>
                <c:pt idx="50">
                  <c:v>42917</c:v>
                </c:pt>
                <c:pt idx="51">
                  <c:v>42948</c:v>
                </c:pt>
                <c:pt idx="52">
                  <c:v>42979</c:v>
                </c:pt>
                <c:pt idx="53">
                  <c:v>43009</c:v>
                </c:pt>
                <c:pt idx="54">
                  <c:v>43040</c:v>
                </c:pt>
                <c:pt idx="55">
                  <c:v>43070</c:v>
                </c:pt>
                <c:pt idx="56">
                  <c:v>43101</c:v>
                </c:pt>
                <c:pt idx="57">
                  <c:v>43132</c:v>
                </c:pt>
                <c:pt idx="58">
                  <c:v>43160</c:v>
                </c:pt>
                <c:pt idx="59">
                  <c:v>43191</c:v>
                </c:pt>
                <c:pt idx="60">
                  <c:v>43221</c:v>
                </c:pt>
                <c:pt idx="61">
                  <c:v>43252</c:v>
                </c:pt>
                <c:pt idx="62">
                  <c:v>43282</c:v>
                </c:pt>
                <c:pt idx="63">
                  <c:v>43313</c:v>
                </c:pt>
              </c:numCache>
            </c:numRef>
          </c:cat>
          <c:val>
            <c:numRef>
              <c:f>Foglio1!$B$3:$B$65</c:f>
              <c:numCache>
                <c:formatCode>0</c:formatCode>
                <c:ptCount val="63"/>
                <c:pt idx="0">
                  <c:v>5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  <c:pt idx="4">
                  <c:v>17</c:v>
                </c:pt>
                <c:pt idx="5">
                  <c:v>34</c:v>
                </c:pt>
                <c:pt idx="6">
                  <c:v>9</c:v>
                </c:pt>
                <c:pt idx="7">
                  <c:v>25</c:v>
                </c:pt>
                <c:pt idx="8">
                  <c:v>18</c:v>
                </c:pt>
                <c:pt idx="9">
                  <c:v>40</c:v>
                </c:pt>
                <c:pt idx="10">
                  <c:v>11</c:v>
                </c:pt>
                <c:pt idx="11">
                  <c:v>34</c:v>
                </c:pt>
                <c:pt idx="12">
                  <c:v>7</c:v>
                </c:pt>
                <c:pt idx="13">
                  <c:v>14</c:v>
                </c:pt>
                <c:pt idx="14">
                  <c:v>68</c:v>
                </c:pt>
                <c:pt idx="15">
                  <c:v>67</c:v>
                </c:pt>
                <c:pt idx="16">
                  <c:v>58</c:v>
                </c:pt>
                <c:pt idx="17">
                  <c:v>72</c:v>
                </c:pt>
                <c:pt idx="18">
                  <c:v>46</c:v>
                </c:pt>
                <c:pt idx="19">
                  <c:v>20</c:v>
                </c:pt>
                <c:pt idx="20">
                  <c:v>24</c:v>
                </c:pt>
                <c:pt idx="21">
                  <c:v>46</c:v>
                </c:pt>
                <c:pt idx="22">
                  <c:v>39</c:v>
                </c:pt>
                <c:pt idx="23">
                  <c:v>25</c:v>
                </c:pt>
                <c:pt idx="24">
                  <c:v>61</c:v>
                </c:pt>
                <c:pt idx="25">
                  <c:v>33</c:v>
                </c:pt>
                <c:pt idx="26">
                  <c:v>50</c:v>
                </c:pt>
                <c:pt idx="27">
                  <c:v>72</c:v>
                </c:pt>
                <c:pt idx="28">
                  <c:v>52</c:v>
                </c:pt>
                <c:pt idx="29">
                  <c:v>35</c:v>
                </c:pt>
                <c:pt idx="30">
                  <c:v>45</c:v>
                </c:pt>
                <c:pt idx="31">
                  <c:v>65</c:v>
                </c:pt>
                <c:pt idx="32">
                  <c:v>43</c:v>
                </c:pt>
                <c:pt idx="33">
                  <c:v>21</c:v>
                </c:pt>
                <c:pt idx="34">
                  <c:v>33</c:v>
                </c:pt>
                <c:pt idx="35">
                  <c:v>52</c:v>
                </c:pt>
                <c:pt idx="36">
                  <c:v>43</c:v>
                </c:pt>
                <c:pt idx="37">
                  <c:v>46</c:v>
                </c:pt>
                <c:pt idx="38">
                  <c:v>39</c:v>
                </c:pt>
                <c:pt idx="39">
                  <c:v>6</c:v>
                </c:pt>
                <c:pt idx="40">
                  <c:v>8</c:v>
                </c:pt>
                <c:pt idx="41">
                  <c:v>14</c:v>
                </c:pt>
                <c:pt idx="42">
                  <c:v>30</c:v>
                </c:pt>
                <c:pt idx="43">
                  <c:v>22</c:v>
                </c:pt>
                <c:pt idx="44">
                  <c:v>20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6</c:v>
                </c:pt>
                <c:pt idx="57">
                  <c:v>3</c:v>
                </c:pt>
                <c:pt idx="58">
                  <c:v>3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E1-6D4F-A289-AD5F331E88FC}"/>
            </c:ext>
          </c:extLst>
        </c:ser>
        <c:ser>
          <c:idx val="1"/>
          <c:order val="1"/>
          <c:tx>
            <c:v>3*std + mean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Foglio1!$A$2:$A$101</c:f>
              <c:numCache>
                <c:formatCode>mmm\-yy</c:formatCode>
                <c:ptCount val="100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  <c:pt idx="25">
                  <c:v>42156</c:v>
                </c:pt>
                <c:pt idx="26">
                  <c:v>42186</c:v>
                </c:pt>
                <c:pt idx="27">
                  <c:v>42217</c:v>
                </c:pt>
                <c:pt idx="28">
                  <c:v>42248</c:v>
                </c:pt>
                <c:pt idx="29">
                  <c:v>42278</c:v>
                </c:pt>
                <c:pt idx="30">
                  <c:v>42309</c:v>
                </c:pt>
                <c:pt idx="31">
                  <c:v>42339</c:v>
                </c:pt>
                <c:pt idx="32">
                  <c:v>42370</c:v>
                </c:pt>
                <c:pt idx="33">
                  <c:v>42401</c:v>
                </c:pt>
                <c:pt idx="34">
                  <c:v>42430</c:v>
                </c:pt>
                <c:pt idx="35">
                  <c:v>42461</c:v>
                </c:pt>
                <c:pt idx="36">
                  <c:v>42491</c:v>
                </c:pt>
                <c:pt idx="37">
                  <c:v>42522</c:v>
                </c:pt>
                <c:pt idx="38">
                  <c:v>42552</c:v>
                </c:pt>
                <c:pt idx="39">
                  <c:v>42583</c:v>
                </c:pt>
                <c:pt idx="40">
                  <c:v>42614</c:v>
                </c:pt>
                <c:pt idx="41">
                  <c:v>42644</c:v>
                </c:pt>
                <c:pt idx="42">
                  <c:v>42675</c:v>
                </c:pt>
                <c:pt idx="43">
                  <c:v>42705</c:v>
                </c:pt>
                <c:pt idx="44">
                  <c:v>42736</c:v>
                </c:pt>
                <c:pt idx="45">
                  <c:v>42767</c:v>
                </c:pt>
                <c:pt idx="46">
                  <c:v>42795</c:v>
                </c:pt>
                <c:pt idx="47">
                  <c:v>42826</c:v>
                </c:pt>
                <c:pt idx="48">
                  <c:v>42856</c:v>
                </c:pt>
                <c:pt idx="49">
                  <c:v>42887</c:v>
                </c:pt>
                <c:pt idx="50">
                  <c:v>42917</c:v>
                </c:pt>
                <c:pt idx="51">
                  <c:v>42948</c:v>
                </c:pt>
                <c:pt idx="52">
                  <c:v>42979</c:v>
                </c:pt>
                <c:pt idx="53">
                  <c:v>43009</c:v>
                </c:pt>
                <c:pt idx="54">
                  <c:v>43040</c:v>
                </c:pt>
                <c:pt idx="55">
                  <c:v>43070</c:v>
                </c:pt>
                <c:pt idx="56">
                  <c:v>43101</c:v>
                </c:pt>
                <c:pt idx="57">
                  <c:v>43132</c:v>
                </c:pt>
                <c:pt idx="58">
                  <c:v>43160</c:v>
                </c:pt>
                <c:pt idx="59">
                  <c:v>43191</c:v>
                </c:pt>
                <c:pt idx="60">
                  <c:v>43221</c:v>
                </c:pt>
                <c:pt idx="61">
                  <c:v>43252</c:v>
                </c:pt>
                <c:pt idx="62">
                  <c:v>43282</c:v>
                </c:pt>
                <c:pt idx="63">
                  <c:v>43313</c:v>
                </c:pt>
              </c:numCache>
            </c:numRef>
          </c:cat>
          <c:val>
            <c:numRef>
              <c:f>Foglio1!$E$2:$E$100</c:f>
              <c:numCache>
                <c:formatCode>0.0000</c:formatCode>
                <c:ptCount val="99"/>
                <c:pt idx="0">
                  <c:v>89.955471842193589</c:v>
                </c:pt>
                <c:pt idx="1">
                  <c:v>89.955471842193589</c:v>
                </c:pt>
                <c:pt idx="2">
                  <c:v>89.955471842193589</c:v>
                </c:pt>
                <c:pt idx="3">
                  <c:v>89.955471842193589</c:v>
                </c:pt>
                <c:pt idx="4">
                  <c:v>89.955471842193589</c:v>
                </c:pt>
                <c:pt idx="5">
                  <c:v>89.955471842193589</c:v>
                </c:pt>
                <c:pt idx="6">
                  <c:v>89.955471842193589</c:v>
                </c:pt>
                <c:pt idx="7">
                  <c:v>89.955471842193589</c:v>
                </c:pt>
                <c:pt idx="8">
                  <c:v>89.955471842193589</c:v>
                </c:pt>
                <c:pt idx="9">
                  <c:v>89.955471842193589</c:v>
                </c:pt>
                <c:pt idx="10">
                  <c:v>89.955471842193589</c:v>
                </c:pt>
                <c:pt idx="11">
                  <c:v>89.955471842193589</c:v>
                </c:pt>
                <c:pt idx="12">
                  <c:v>89.955471842193589</c:v>
                </c:pt>
                <c:pt idx="13">
                  <c:v>89.955471842193589</c:v>
                </c:pt>
                <c:pt idx="14">
                  <c:v>89.955471842193589</c:v>
                </c:pt>
                <c:pt idx="15">
                  <c:v>89.955471842193589</c:v>
                </c:pt>
                <c:pt idx="16">
                  <c:v>89.955471842193589</c:v>
                </c:pt>
                <c:pt idx="17">
                  <c:v>89.955471842193589</c:v>
                </c:pt>
                <c:pt idx="18">
                  <c:v>89.955471842193589</c:v>
                </c:pt>
                <c:pt idx="19">
                  <c:v>89.955471842193589</c:v>
                </c:pt>
                <c:pt idx="20">
                  <c:v>89.955471842193589</c:v>
                </c:pt>
                <c:pt idx="21">
                  <c:v>89.955471842193589</c:v>
                </c:pt>
                <c:pt idx="22">
                  <c:v>89.955471842193589</c:v>
                </c:pt>
                <c:pt idx="23">
                  <c:v>89.955471842193589</c:v>
                </c:pt>
                <c:pt idx="24">
                  <c:v>89.955471842193589</c:v>
                </c:pt>
                <c:pt idx="25">
                  <c:v>89.955471842193589</c:v>
                </c:pt>
                <c:pt idx="26">
                  <c:v>89.955471842193589</c:v>
                </c:pt>
                <c:pt idx="27">
                  <c:v>89.955471842193589</c:v>
                </c:pt>
                <c:pt idx="28">
                  <c:v>89.955471842193589</c:v>
                </c:pt>
                <c:pt idx="29">
                  <c:v>89.955471842193589</c:v>
                </c:pt>
                <c:pt idx="30">
                  <c:v>89.955471842193589</c:v>
                </c:pt>
                <c:pt idx="31">
                  <c:v>89.955471842193589</c:v>
                </c:pt>
                <c:pt idx="32">
                  <c:v>89.955471842193589</c:v>
                </c:pt>
                <c:pt idx="33">
                  <c:v>89.955471842193589</c:v>
                </c:pt>
                <c:pt idx="34">
                  <c:v>89.955471842193589</c:v>
                </c:pt>
                <c:pt idx="35">
                  <c:v>89.955471842193589</c:v>
                </c:pt>
                <c:pt idx="36">
                  <c:v>89.955471842193589</c:v>
                </c:pt>
                <c:pt idx="37">
                  <c:v>89.955471842193589</c:v>
                </c:pt>
                <c:pt idx="38">
                  <c:v>89.955471842193589</c:v>
                </c:pt>
                <c:pt idx="39">
                  <c:v>89.955471842193589</c:v>
                </c:pt>
                <c:pt idx="40">
                  <c:v>89.955471842193589</c:v>
                </c:pt>
                <c:pt idx="41">
                  <c:v>89.955471842193589</c:v>
                </c:pt>
                <c:pt idx="42">
                  <c:v>89.955471842193589</c:v>
                </c:pt>
                <c:pt idx="43">
                  <c:v>89.955471842193589</c:v>
                </c:pt>
                <c:pt idx="44">
                  <c:v>89.955471842193589</c:v>
                </c:pt>
                <c:pt idx="45">
                  <c:v>89.955471842193589</c:v>
                </c:pt>
                <c:pt idx="46">
                  <c:v>89.955471842193589</c:v>
                </c:pt>
                <c:pt idx="47">
                  <c:v>89.955471842193589</c:v>
                </c:pt>
                <c:pt idx="48">
                  <c:v>89.955471842193589</c:v>
                </c:pt>
                <c:pt idx="49">
                  <c:v>89.955471842193589</c:v>
                </c:pt>
                <c:pt idx="50">
                  <c:v>89.955471842193589</c:v>
                </c:pt>
                <c:pt idx="51">
                  <c:v>89.955471842193589</c:v>
                </c:pt>
                <c:pt idx="52">
                  <c:v>89.955471842193589</c:v>
                </c:pt>
                <c:pt idx="53">
                  <c:v>89.955471842193589</c:v>
                </c:pt>
                <c:pt idx="54">
                  <c:v>89.955471842193589</c:v>
                </c:pt>
                <c:pt idx="55">
                  <c:v>89.955471842193589</c:v>
                </c:pt>
                <c:pt idx="56">
                  <c:v>89.955471842193589</c:v>
                </c:pt>
                <c:pt idx="57">
                  <c:v>89.955471842193589</c:v>
                </c:pt>
                <c:pt idx="58">
                  <c:v>89.955471842193589</c:v>
                </c:pt>
                <c:pt idx="59">
                  <c:v>89.955471842193589</c:v>
                </c:pt>
                <c:pt idx="60">
                  <c:v>89.955471842193589</c:v>
                </c:pt>
                <c:pt idx="61">
                  <c:v>89.955471842193589</c:v>
                </c:pt>
                <c:pt idx="62">
                  <c:v>89.955471842193589</c:v>
                </c:pt>
                <c:pt idx="63">
                  <c:v>89.955471842193589</c:v>
                </c:pt>
                <c:pt idx="64">
                  <c:v>89.955471842193589</c:v>
                </c:pt>
                <c:pt idx="65">
                  <c:v>89.955471842193589</c:v>
                </c:pt>
                <c:pt idx="66">
                  <c:v>89.955471842193589</c:v>
                </c:pt>
                <c:pt idx="67">
                  <c:v>89.955471842193589</c:v>
                </c:pt>
                <c:pt idx="68">
                  <c:v>89.955471842193589</c:v>
                </c:pt>
                <c:pt idx="69">
                  <c:v>89.955471842193589</c:v>
                </c:pt>
                <c:pt idx="70">
                  <c:v>89.955471842193589</c:v>
                </c:pt>
                <c:pt idx="71">
                  <c:v>89.955471842193589</c:v>
                </c:pt>
                <c:pt idx="72">
                  <c:v>89.955471842193589</c:v>
                </c:pt>
                <c:pt idx="73">
                  <c:v>89.955471842193589</c:v>
                </c:pt>
                <c:pt idx="74">
                  <c:v>89.955471842193589</c:v>
                </c:pt>
                <c:pt idx="75">
                  <c:v>89.955471842193589</c:v>
                </c:pt>
                <c:pt idx="76">
                  <c:v>89.955471842193589</c:v>
                </c:pt>
                <c:pt idx="77">
                  <c:v>89.955471842193589</c:v>
                </c:pt>
                <c:pt idx="78">
                  <c:v>89.955471842193589</c:v>
                </c:pt>
                <c:pt idx="79">
                  <c:v>89.955471842193589</c:v>
                </c:pt>
                <c:pt idx="80">
                  <c:v>89.955471842193589</c:v>
                </c:pt>
                <c:pt idx="81">
                  <c:v>89.955471842193589</c:v>
                </c:pt>
                <c:pt idx="82">
                  <c:v>89.955471842193589</c:v>
                </c:pt>
                <c:pt idx="83">
                  <c:v>89.955471842193589</c:v>
                </c:pt>
                <c:pt idx="84">
                  <c:v>89.955471842193589</c:v>
                </c:pt>
                <c:pt idx="85">
                  <c:v>89.955471842193589</c:v>
                </c:pt>
                <c:pt idx="86">
                  <c:v>89.955471842193589</c:v>
                </c:pt>
                <c:pt idx="87">
                  <c:v>89.955471842193589</c:v>
                </c:pt>
                <c:pt idx="88">
                  <c:v>89.955471842193589</c:v>
                </c:pt>
                <c:pt idx="89">
                  <c:v>89.955471842193589</c:v>
                </c:pt>
                <c:pt idx="90">
                  <c:v>89.955471842193589</c:v>
                </c:pt>
                <c:pt idx="91">
                  <c:v>89.955471842193589</c:v>
                </c:pt>
                <c:pt idx="92">
                  <c:v>89.955471842193589</c:v>
                </c:pt>
                <c:pt idx="93">
                  <c:v>89.955471842193589</c:v>
                </c:pt>
                <c:pt idx="94">
                  <c:v>89.955471842193589</c:v>
                </c:pt>
                <c:pt idx="95">
                  <c:v>89.955471842193589</c:v>
                </c:pt>
                <c:pt idx="96">
                  <c:v>89.955471842193589</c:v>
                </c:pt>
                <c:pt idx="97">
                  <c:v>89.955471842193589</c:v>
                </c:pt>
                <c:pt idx="98">
                  <c:v>89.955471842193589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E1-6D4F-A289-AD5F331E88FC}"/>
            </c:ext>
          </c:extLst>
        </c:ser>
        <c:ser>
          <c:idx val="2"/>
          <c:order val="2"/>
          <c:tx>
            <c:v>mean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Foglio1!$A$2:$A$101</c:f>
              <c:numCache>
                <c:formatCode>mmm\-yy</c:formatCode>
                <c:ptCount val="100"/>
                <c:pt idx="0">
                  <c:v>41395</c:v>
                </c:pt>
                <c:pt idx="1">
                  <c:v>41426</c:v>
                </c:pt>
                <c:pt idx="2">
                  <c:v>41456</c:v>
                </c:pt>
                <c:pt idx="3">
                  <c:v>41487</c:v>
                </c:pt>
                <c:pt idx="4">
                  <c:v>41518</c:v>
                </c:pt>
                <c:pt idx="5">
                  <c:v>41548</c:v>
                </c:pt>
                <c:pt idx="6">
                  <c:v>41579</c:v>
                </c:pt>
                <c:pt idx="7">
                  <c:v>41609</c:v>
                </c:pt>
                <c:pt idx="8">
                  <c:v>41640</c:v>
                </c:pt>
                <c:pt idx="9">
                  <c:v>41671</c:v>
                </c:pt>
                <c:pt idx="10">
                  <c:v>41699</c:v>
                </c:pt>
                <c:pt idx="11">
                  <c:v>41730</c:v>
                </c:pt>
                <c:pt idx="12">
                  <c:v>41760</c:v>
                </c:pt>
                <c:pt idx="13">
                  <c:v>41791</c:v>
                </c:pt>
                <c:pt idx="14">
                  <c:v>41821</c:v>
                </c:pt>
                <c:pt idx="15">
                  <c:v>41852</c:v>
                </c:pt>
                <c:pt idx="16">
                  <c:v>41883</c:v>
                </c:pt>
                <c:pt idx="17">
                  <c:v>41913</c:v>
                </c:pt>
                <c:pt idx="18">
                  <c:v>41944</c:v>
                </c:pt>
                <c:pt idx="19">
                  <c:v>41974</c:v>
                </c:pt>
                <c:pt idx="20">
                  <c:v>42005</c:v>
                </c:pt>
                <c:pt idx="21">
                  <c:v>42036</c:v>
                </c:pt>
                <c:pt idx="22">
                  <c:v>42064</c:v>
                </c:pt>
                <c:pt idx="23">
                  <c:v>42095</c:v>
                </c:pt>
                <c:pt idx="24">
                  <c:v>42125</c:v>
                </c:pt>
                <c:pt idx="25">
                  <c:v>42156</c:v>
                </c:pt>
                <c:pt idx="26">
                  <c:v>42186</c:v>
                </c:pt>
                <c:pt idx="27">
                  <c:v>42217</c:v>
                </c:pt>
                <c:pt idx="28">
                  <c:v>42248</c:v>
                </c:pt>
                <c:pt idx="29">
                  <c:v>42278</c:v>
                </c:pt>
                <c:pt idx="30">
                  <c:v>42309</c:v>
                </c:pt>
                <c:pt idx="31">
                  <c:v>42339</c:v>
                </c:pt>
                <c:pt idx="32">
                  <c:v>42370</c:v>
                </c:pt>
                <c:pt idx="33">
                  <c:v>42401</c:v>
                </c:pt>
                <c:pt idx="34">
                  <c:v>42430</c:v>
                </c:pt>
                <c:pt idx="35">
                  <c:v>42461</c:v>
                </c:pt>
                <c:pt idx="36">
                  <c:v>42491</c:v>
                </c:pt>
                <c:pt idx="37">
                  <c:v>42522</c:v>
                </c:pt>
                <c:pt idx="38">
                  <c:v>42552</c:v>
                </c:pt>
                <c:pt idx="39">
                  <c:v>42583</c:v>
                </c:pt>
                <c:pt idx="40">
                  <c:v>42614</c:v>
                </c:pt>
                <c:pt idx="41">
                  <c:v>42644</c:v>
                </c:pt>
                <c:pt idx="42">
                  <c:v>42675</c:v>
                </c:pt>
                <c:pt idx="43">
                  <c:v>42705</c:v>
                </c:pt>
                <c:pt idx="44">
                  <c:v>42736</c:v>
                </c:pt>
                <c:pt idx="45">
                  <c:v>42767</c:v>
                </c:pt>
                <c:pt idx="46">
                  <c:v>42795</c:v>
                </c:pt>
                <c:pt idx="47">
                  <c:v>42826</c:v>
                </c:pt>
                <c:pt idx="48">
                  <c:v>42856</c:v>
                </c:pt>
                <c:pt idx="49">
                  <c:v>42887</c:v>
                </c:pt>
                <c:pt idx="50">
                  <c:v>42917</c:v>
                </c:pt>
                <c:pt idx="51">
                  <c:v>42948</c:v>
                </c:pt>
                <c:pt idx="52">
                  <c:v>42979</c:v>
                </c:pt>
                <c:pt idx="53">
                  <c:v>43009</c:v>
                </c:pt>
                <c:pt idx="54">
                  <c:v>43040</c:v>
                </c:pt>
                <c:pt idx="55">
                  <c:v>43070</c:v>
                </c:pt>
                <c:pt idx="56">
                  <c:v>43101</c:v>
                </c:pt>
                <c:pt idx="57">
                  <c:v>43132</c:v>
                </c:pt>
                <c:pt idx="58">
                  <c:v>43160</c:v>
                </c:pt>
                <c:pt idx="59">
                  <c:v>43191</c:v>
                </c:pt>
                <c:pt idx="60">
                  <c:v>43221</c:v>
                </c:pt>
                <c:pt idx="61">
                  <c:v>43252</c:v>
                </c:pt>
                <c:pt idx="62">
                  <c:v>43282</c:v>
                </c:pt>
                <c:pt idx="63">
                  <c:v>43313</c:v>
                </c:pt>
              </c:numCache>
            </c:numRef>
          </c:cat>
          <c:val>
            <c:numRef>
              <c:f>Foglio1!$F$2:$F$100</c:f>
              <c:numCache>
                <c:formatCode>0.0000</c:formatCode>
                <c:ptCount val="99"/>
                <c:pt idx="0">
                  <c:v>24.296875</c:v>
                </c:pt>
                <c:pt idx="1">
                  <c:v>24.296875</c:v>
                </c:pt>
                <c:pt idx="2">
                  <c:v>24.296875</c:v>
                </c:pt>
                <c:pt idx="3">
                  <c:v>24.296875</c:v>
                </c:pt>
                <c:pt idx="4">
                  <c:v>24.296875</c:v>
                </c:pt>
                <c:pt idx="5">
                  <c:v>24.296875</c:v>
                </c:pt>
                <c:pt idx="6">
                  <c:v>24.296875</c:v>
                </c:pt>
                <c:pt idx="7">
                  <c:v>24.296875</c:v>
                </c:pt>
                <c:pt idx="8">
                  <c:v>24.296875</c:v>
                </c:pt>
                <c:pt idx="9">
                  <c:v>24.296875</c:v>
                </c:pt>
                <c:pt idx="10">
                  <c:v>24.296875</c:v>
                </c:pt>
                <c:pt idx="11">
                  <c:v>24.296875</c:v>
                </c:pt>
                <c:pt idx="12">
                  <c:v>24.296875</c:v>
                </c:pt>
                <c:pt idx="13">
                  <c:v>24.296875</c:v>
                </c:pt>
                <c:pt idx="14">
                  <c:v>24.296875</c:v>
                </c:pt>
                <c:pt idx="15">
                  <c:v>24.296875</c:v>
                </c:pt>
                <c:pt idx="16">
                  <c:v>24.296875</c:v>
                </c:pt>
                <c:pt idx="17">
                  <c:v>24.296875</c:v>
                </c:pt>
                <c:pt idx="18">
                  <c:v>24.296875</c:v>
                </c:pt>
                <c:pt idx="19">
                  <c:v>24.296875</c:v>
                </c:pt>
                <c:pt idx="20">
                  <c:v>24.296875</c:v>
                </c:pt>
                <c:pt idx="21">
                  <c:v>24.296875</c:v>
                </c:pt>
                <c:pt idx="22">
                  <c:v>24.296875</c:v>
                </c:pt>
                <c:pt idx="23">
                  <c:v>24.296875</c:v>
                </c:pt>
                <c:pt idx="24">
                  <c:v>24.296875</c:v>
                </c:pt>
                <c:pt idx="25">
                  <c:v>24.296875</c:v>
                </c:pt>
                <c:pt idx="26">
                  <c:v>24.296875</c:v>
                </c:pt>
                <c:pt idx="27">
                  <c:v>24.296875</c:v>
                </c:pt>
                <c:pt idx="28">
                  <c:v>24.296875</c:v>
                </c:pt>
                <c:pt idx="29">
                  <c:v>24.296875</c:v>
                </c:pt>
                <c:pt idx="30">
                  <c:v>24.296875</c:v>
                </c:pt>
                <c:pt idx="31">
                  <c:v>24.296875</c:v>
                </c:pt>
                <c:pt idx="32">
                  <c:v>24.296875</c:v>
                </c:pt>
                <c:pt idx="33">
                  <c:v>24.296875</c:v>
                </c:pt>
                <c:pt idx="34">
                  <c:v>24.296875</c:v>
                </c:pt>
                <c:pt idx="35">
                  <c:v>24.296875</c:v>
                </c:pt>
                <c:pt idx="36">
                  <c:v>24.296875</c:v>
                </c:pt>
                <c:pt idx="37">
                  <c:v>24.296875</c:v>
                </c:pt>
                <c:pt idx="38">
                  <c:v>24.296875</c:v>
                </c:pt>
                <c:pt idx="39">
                  <c:v>24.296875</c:v>
                </c:pt>
                <c:pt idx="40">
                  <c:v>24.296875</c:v>
                </c:pt>
                <c:pt idx="41">
                  <c:v>24.296875</c:v>
                </c:pt>
                <c:pt idx="42">
                  <c:v>24.296875</c:v>
                </c:pt>
                <c:pt idx="43">
                  <c:v>24.296875</c:v>
                </c:pt>
                <c:pt idx="44">
                  <c:v>24.296875</c:v>
                </c:pt>
                <c:pt idx="45">
                  <c:v>24.296875</c:v>
                </c:pt>
                <c:pt idx="46">
                  <c:v>24.296875</c:v>
                </c:pt>
                <c:pt idx="47">
                  <c:v>24.296875</c:v>
                </c:pt>
                <c:pt idx="48">
                  <c:v>24.296875</c:v>
                </c:pt>
                <c:pt idx="49">
                  <c:v>24.296875</c:v>
                </c:pt>
                <c:pt idx="50">
                  <c:v>24.296875</c:v>
                </c:pt>
                <c:pt idx="51">
                  <c:v>24.296875</c:v>
                </c:pt>
                <c:pt idx="52">
                  <c:v>24.296875</c:v>
                </c:pt>
                <c:pt idx="53">
                  <c:v>24.296875</c:v>
                </c:pt>
                <c:pt idx="54">
                  <c:v>24.296875</c:v>
                </c:pt>
                <c:pt idx="55">
                  <c:v>24.296875</c:v>
                </c:pt>
                <c:pt idx="56">
                  <c:v>24.296875</c:v>
                </c:pt>
                <c:pt idx="57">
                  <c:v>24.296875</c:v>
                </c:pt>
                <c:pt idx="58">
                  <c:v>24.296875</c:v>
                </c:pt>
                <c:pt idx="59">
                  <c:v>24.296875</c:v>
                </c:pt>
                <c:pt idx="60">
                  <c:v>24.296875</c:v>
                </c:pt>
                <c:pt idx="61">
                  <c:v>24.296875</c:v>
                </c:pt>
                <c:pt idx="62">
                  <c:v>24.296875</c:v>
                </c:pt>
                <c:pt idx="63">
                  <c:v>24.296875</c:v>
                </c:pt>
                <c:pt idx="64">
                  <c:v>24.296875</c:v>
                </c:pt>
                <c:pt idx="65">
                  <c:v>24.296875</c:v>
                </c:pt>
                <c:pt idx="66">
                  <c:v>24.296875</c:v>
                </c:pt>
                <c:pt idx="67">
                  <c:v>24.296875</c:v>
                </c:pt>
                <c:pt idx="68">
                  <c:v>24.296875</c:v>
                </c:pt>
                <c:pt idx="69">
                  <c:v>24.296875</c:v>
                </c:pt>
                <c:pt idx="70">
                  <c:v>24.296875</c:v>
                </c:pt>
                <c:pt idx="71">
                  <c:v>24.296875</c:v>
                </c:pt>
                <c:pt idx="72">
                  <c:v>24.296875</c:v>
                </c:pt>
                <c:pt idx="73">
                  <c:v>24.296875</c:v>
                </c:pt>
                <c:pt idx="74">
                  <c:v>24.296875</c:v>
                </c:pt>
                <c:pt idx="75">
                  <c:v>24.296875</c:v>
                </c:pt>
                <c:pt idx="76">
                  <c:v>24.296875</c:v>
                </c:pt>
                <c:pt idx="77">
                  <c:v>24.296875</c:v>
                </c:pt>
                <c:pt idx="78">
                  <c:v>24.296875</c:v>
                </c:pt>
                <c:pt idx="79">
                  <c:v>24.296875</c:v>
                </c:pt>
                <c:pt idx="80">
                  <c:v>24.296875</c:v>
                </c:pt>
                <c:pt idx="81">
                  <c:v>24.296875</c:v>
                </c:pt>
                <c:pt idx="82">
                  <c:v>24.296875</c:v>
                </c:pt>
                <c:pt idx="83">
                  <c:v>24.296875</c:v>
                </c:pt>
                <c:pt idx="84">
                  <c:v>24.296875</c:v>
                </c:pt>
                <c:pt idx="85">
                  <c:v>24.296875</c:v>
                </c:pt>
                <c:pt idx="86">
                  <c:v>24.296875</c:v>
                </c:pt>
                <c:pt idx="87">
                  <c:v>24.296875</c:v>
                </c:pt>
                <c:pt idx="88">
                  <c:v>24.296875</c:v>
                </c:pt>
                <c:pt idx="89">
                  <c:v>24.296875</c:v>
                </c:pt>
                <c:pt idx="90">
                  <c:v>24.296875</c:v>
                </c:pt>
                <c:pt idx="91">
                  <c:v>24.296875</c:v>
                </c:pt>
                <c:pt idx="92">
                  <c:v>24.296875</c:v>
                </c:pt>
                <c:pt idx="93">
                  <c:v>24.296875</c:v>
                </c:pt>
                <c:pt idx="94">
                  <c:v>24.296875</c:v>
                </c:pt>
                <c:pt idx="95">
                  <c:v>24.296875</c:v>
                </c:pt>
                <c:pt idx="96">
                  <c:v>24.296875</c:v>
                </c:pt>
                <c:pt idx="97">
                  <c:v>24.296875</c:v>
                </c:pt>
                <c:pt idx="98">
                  <c:v>24.296875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E1-6D4F-A289-AD5F331E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875199"/>
        <c:axId val="326876847"/>
      </c:lineChart>
      <c:dateAx>
        <c:axId val="3268751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6876847"/>
        <c:crosses val="autoZero"/>
        <c:auto val="1"/>
        <c:lblOffset val="100"/>
        <c:baseTimeUnit val="months"/>
      </c:dateAx>
      <c:valAx>
        <c:axId val="3268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687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341944</xdr:colOff>
      <xdr:row>1</xdr:row>
      <xdr:rowOff>69020</xdr:rowOff>
    </xdr:from>
    <xdr:to>
      <xdr:col>19</xdr:col>
      <xdr:colOff>565978</xdr:colOff>
      <xdr:row>22</xdr:row>
      <xdr:rowOff>177526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BA70D8D-D6DB-9942-9A02-392224761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C815F625-C535-4341-95DB-5F074DE6118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350F-B040-B54F-8D6F-60DB16F3085D}">
  <dimension ref="A1:G102"/>
  <sheetViews>
    <sheetView tabSelected="1" zoomScale="93" workbookViewId="0">
      <selection activeCell="F9" sqref="F9"/>
    </sheetView>
  </sheetViews>
  <sheetFormatPr baseColWidth="10" defaultRowHeight="16" x14ac:dyDescent="0.2"/>
  <cols>
    <col min="1" max="1" width="14.83203125" bestFit="1" customWidth="1"/>
    <col min="2" max="2" width="15.83203125" bestFit="1" customWidth="1"/>
    <col min="3" max="3" width="20.1640625" customWidth="1"/>
    <col min="4" max="4" width="19" customWidth="1"/>
    <col min="5" max="5" width="19.83203125" customWidth="1"/>
    <col min="6" max="7" width="19.6640625" customWidth="1"/>
  </cols>
  <sheetData>
    <row r="1" spans="1:7" ht="25" thickBot="1" x14ac:dyDescent="0.25">
      <c r="A1" s="29" t="s">
        <v>8</v>
      </c>
      <c r="B1" s="30" t="s">
        <v>9</v>
      </c>
      <c r="C1" s="31" t="s">
        <v>0</v>
      </c>
      <c r="D1" s="32"/>
      <c r="E1" s="33" t="s">
        <v>6</v>
      </c>
      <c r="F1" s="29" t="s">
        <v>1</v>
      </c>
      <c r="G1" s="34" t="s">
        <v>7</v>
      </c>
    </row>
    <row r="2" spans="1:7" ht="30" customHeight="1" x14ac:dyDescent="0.2">
      <c r="A2" s="11">
        <v>41395</v>
      </c>
      <c r="B2" s="12">
        <v>4</v>
      </c>
      <c r="C2" s="19">
        <f>SUM(B2:B101)</f>
        <v>1555</v>
      </c>
      <c r="D2" s="20"/>
      <c r="E2" s="10">
        <f>C10*3 + C6</f>
        <v>89.955471842193589</v>
      </c>
      <c r="F2" s="10">
        <f>C6</f>
        <v>24.296875</v>
      </c>
      <c r="G2" s="10">
        <f t="shared" ref="G2:G33" si="0">-E2</f>
        <v>-89.955471842193589</v>
      </c>
    </row>
    <row r="3" spans="1:7" ht="30" customHeight="1" x14ac:dyDescent="0.2">
      <c r="A3" s="13">
        <v>41426</v>
      </c>
      <c r="B3" s="14">
        <v>5</v>
      </c>
      <c r="C3" s="4"/>
      <c r="D3" s="5"/>
      <c r="E3" s="17">
        <f>C10*3 + C6</f>
        <v>89.955471842193589</v>
      </c>
      <c r="F3" s="17">
        <f>C6</f>
        <v>24.296875</v>
      </c>
      <c r="G3" s="10">
        <f t="shared" si="0"/>
        <v>-89.955471842193589</v>
      </c>
    </row>
    <row r="4" spans="1:7" ht="30" customHeight="1" thickBot="1" x14ac:dyDescent="0.25">
      <c r="A4" s="13">
        <v>41456</v>
      </c>
      <c r="B4" s="14">
        <v>20</v>
      </c>
      <c r="C4" s="4"/>
      <c r="D4" s="5"/>
      <c r="E4" s="17">
        <f>C10*3 + C6</f>
        <v>89.955471842193589</v>
      </c>
      <c r="F4" s="17">
        <f>C6</f>
        <v>24.296875</v>
      </c>
      <c r="G4" s="10">
        <f t="shared" si="0"/>
        <v>-89.955471842193589</v>
      </c>
    </row>
    <row r="5" spans="1:7" ht="30" customHeight="1" thickBot="1" x14ac:dyDescent="0.25">
      <c r="A5" s="13">
        <v>41487</v>
      </c>
      <c r="B5" s="15">
        <v>16</v>
      </c>
      <c r="C5" s="35" t="s">
        <v>1</v>
      </c>
      <c r="D5" s="36"/>
      <c r="E5" s="18">
        <f>C10*3 + C6</f>
        <v>89.955471842193589</v>
      </c>
      <c r="F5" s="17">
        <f>C6</f>
        <v>24.296875</v>
      </c>
      <c r="G5" s="10">
        <f t="shared" si="0"/>
        <v>-89.955471842193589</v>
      </c>
    </row>
    <row r="6" spans="1:7" ht="30" customHeight="1" x14ac:dyDescent="0.2">
      <c r="A6" s="13">
        <v>41518</v>
      </c>
      <c r="B6" s="14">
        <v>14</v>
      </c>
      <c r="C6" s="21">
        <f>AVERAGE(B2:B101)</f>
        <v>24.296875</v>
      </c>
      <c r="D6" s="22"/>
      <c r="E6" s="17">
        <f>C10*3 + C6</f>
        <v>89.955471842193589</v>
      </c>
      <c r="F6" s="17">
        <f>C6</f>
        <v>24.296875</v>
      </c>
      <c r="G6" s="10">
        <f t="shared" si="0"/>
        <v>-89.955471842193589</v>
      </c>
    </row>
    <row r="7" spans="1:7" ht="30" customHeight="1" x14ac:dyDescent="0.2">
      <c r="A7" s="13">
        <v>41548</v>
      </c>
      <c r="B7" s="14">
        <v>17</v>
      </c>
      <c r="C7" s="6"/>
      <c r="D7" s="6"/>
      <c r="E7" s="17">
        <f>C10*3 + C6</f>
        <v>89.955471842193589</v>
      </c>
      <c r="F7" s="17">
        <f>C6</f>
        <v>24.296875</v>
      </c>
      <c r="G7" s="10">
        <f t="shared" si="0"/>
        <v>-89.955471842193589</v>
      </c>
    </row>
    <row r="8" spans="1:7" ht="30" customHeight="1" thickBot="1" x14ac:dyDescent="0.25">
      <c r="A8" s="13">
        <v>41579</v>
      </c>
      <c r="B8" s="14">
        <v>34</v>
      </c>
      <c r="C8" s="7"/>
      <c r="D8" s="7"/>
      <c r="E8" s="17">
        <f>C10*3 + C6</f>
        <v>89.955471842193589</v>
      </c>
      <c r="F8" s="17">
        <f>C6</f>
        <v>24.296875</v>
      </c>
      <c r="G8" s="10">
        <f t="shared" si="0"/>
        <v>-89.955471842193589</v>
      </c>
    </row>
    <row r="9" spans="1:7" ht="30" customHeight="1" thickBot="1" x14ac:dyDescent="0.25">
      <c r="A9" s="13">
        <v>41609</v>
      </c>
      <c r="B9" s="15">
        <v>9</v>
      </c>
      <c r="C9" s="37" t="s">
        <v>2</v>
      </c>
      <c r="D9" s="38"/>
      <c r="E9" s="18">
        <f>C10*3 + C6</f>
        <v>89.955471842193589</v>
      </c>
      <c r="F9" s="17">
        <f>C6</f>
        <v>24.296875</v>
      </c>
      <c r="G9" s="10">
        <f t="shared" si="0"/>
        <v>-89.955471842193589</v>
      </c>
    </row>
    <row r="10" spans="1:7" ht="30" customHeight="1" x14ac:dyDescent="0.2">
      <c r="A10" s="13">
        <v>41640</v>
      </c>
      <c r="B10" s="14">
        <v>25</v>
      </c>
      <c r="C10" s="23">
        <f>STDEV(B2:B101)</f>
        <v>21.886198947397862</v>
      </c>
      <c r="D10" s="24"/>
      <c r="E10" s="17">
        <f>C10*3 + C6</f>
        <v>89.955471842193589</v>
      </c>
      <c r="F10" s="17">
        <f>C6</f>
        <v>24.296875</v>
      </c>
      <c r="G10" s="10">
        <f t="shared" si="0"/>
        <v>-89.955471842193589</v>
      </c>
    </row>
    <row r="11" spans="1:7" ht="30" customHeight="1" x14ac:dyDescent="0.2">
      <c r="A11" s="13">
        <v>41671</v>
      </c>
      <c r="B11" s="14">
        <v>18</v>
      </c>
      <c r="C11" s="8"/>
      <c r="D11" s="9"/>
      <c r="E11" s="17">
        <f>C10*3 + C6</f>
        <v>89.955471842193589</v>
      </c>
      <c r="F11" s="17">
        <f>C6</f>
        <v>24.296875</v>
      </c>
      <c r="G11" s="10">
        <f t="shared" si="0"/>
        <v>-89.955471842193589</v>
      </c>
    </row>
    <row r="12" spans="1:7" ht="30" customHeight="1" thickBot="1" x14ac:dyDescent="0.25">
      <c r="A12" s="13">
        <v>41699</v>
      </c>
      <c r="B12" s="14">
        <v>40</v>
      </c>
      <c r="C12" s="2"/>
      <c r="D12" s="3"/>
      <c r="E12" s="17">
        <f>C10*3 + C6</f>
        <v>89.955471842193589</v>
      </c>
      <c r="F12" s="17">
        <f>C6</f>
        <v>24.296875</v>
      </c>
      <c r="G12" s="10">
        <f t="shared" si="0"/>
        <v>-89.955471842193589</v>
      </c>
    </row>
    <row r="13" spans="1:7" ht="30" customHeight="1" thickBot="1" x14ac:dyDescent="0.25">
      <c r="A13" s="13">
        <v>41730</v>
      </c>
      <c r="B13" s="15">
        <v>11</v>
      </c>
      <c r="C13" s="39" t="s">
        <v>3</v>
      </c>
      <c r="D13" s="40"/>
      <c r="E13" s="18">
        <f>C10*3 + C6</f>
        <v>89.955471842193589</v>
      </c>
      <c r="F13" s="17">
        <f>C6</f>
        <v>24.296875</v>
      </c>
      <c r="G13" s="10">
        <f t="shared" si="0"/>
        <v>-89.955471842193589</v>
      </c>
    </row>
    <row r="14" spans="1:7" ht="30" customHeight="1" x14ac:dyDescent="0.2">
      <c r="A14" s="13">
        <v>41760</v>
      </c>
      <c r="B14" s="14">
        <v>34</v>
      </c>
      <c r="C14" s="25">
        <f>COUNT(A2:A101)</f>
        <v>64</v>
      </c>
      <c r="D14" s="26"/>
      <c r="E14" s="17">
        <f>C10*3 + C6</f>
        <v>89.955471842193589</v>
      </c>
      <c r="F14" s="17">
        <f>C6</f>
        <v>24.296875</v>
      </c>
      <c r="G14" s="10">
        <f t="shared" si="0"/>
        <v>-89.955471842193589</v>
      </c>
    </row>
    <row r="15" spans="1:7" ht="30" customHeight="1" x14ac:dyDescent="0.2">
      <c r="A15" s="13">
        <v>41791</v>
      </c>
      <c r="B15" s="14">
        <v>7</v>
      </c>
      <c r="C15" s="2"/>
      <c r="D15" s="3"/>
      <c r="E15" s="17">
        <f>C10*3 + C6</f>
        <v>89.955471842193589</v>
      </c>
      <c r="F15" s="17">
        <f>C6</f>
        <v>24.296875</v>
      </c>
      <c r="G15" s="10">
        <f t="shared" si="0"/>
        <v>-89.955471842193589</v>
      </c>
    </row>
    <row r="16" spans="1:7" ht="30" customHeight="1" thickBot="1" x14ac:dyDescent="0.25">
      <c r="A16" s="13">
        <v>41821</v>
      </c>
      <c r="B16" s="14">
        <v>14</v>
      </c>
      <c r="C16" s="2"/>
      <c r="D16" s="3"/>
      <c r="E16" s="17">
        <f>C10*3 + C6</f>
        <v>89.955471842193589</v>
      </c>
      <c r="F16" s="17">
        <f>C6</f>
        <v>24.296875</v>
      </c>
      <c r="G16" s="10">
        <f t="shared" si="0"/>
        <v>-89.955471842193589</v>
      </c>
    </row>
    <row r="17" spans="1:7" ht="30" customHeight="1" thickBot="1" x14ac:dyDescent="0.25">
      <c r="A17" s="13">
        <v>41852</v>
      </c>
      <c r="B17" s="15">
        <v>68</v>
      </c>
      <c r="C17" s="41" t="s">
        <v>4</v>
      </c>
      <c r="D17" s="42" t="s">
        <v>5</v>
      </c>
      <c r="E17" s="18">
        <f>C10*3 + C6</f>
        <v>89.955471842193589</v>
      </c>
      <c r="F17" s="17">
        <f>C6</f>
        <v>24.296875</v>
      </c>
      <c r="G17" s="10">
        <f t="shared" si="0"/>
        <v>-89.955471842193589</v>
      </c>
    </row>
    <row r="18" spans="1:7" ht="30" customHeight="1" x14ac:dyDescent="0.2">
      <c r="A18" s="13">
        <v>41883</v>
      </c>
      <c r="B18" s="14">
        <v>67</v>
      </c>
      <c r="C18" s="27">
        <f>MIN(A2:A101)</f>
        <v>41395</v>
      </c>
      <c r="D18" s="28">
        <f>MAX(A2:A101)</f>
        <v>43313</v>
      </c>
      <c r="E18" s="17">
        <f>C10*3 + C6</f>
        <v>89.955471842193589</v>
      </c>
      <c r="F18" s="17">
        <f>C6</f>
        <v>24.296875</v>
      </c>
      <c r="G18" s="10">
        <f t="shared" si="0"/>
        <v>-89.955471842193589</v>
      </c>
    </row>
    <row r="19" spans="1:7" ht="30" customHeight="1" x14ac:dyDescent="0.2">
      <c r="A19" s="13">
        <v>41913</v>
      </c>
      <c r="B19" s="14">
        <v>58</v>
      </c>
      <c r="C19" s="2"/>
      <c r="D19" s="3"/>
      <c r="E19" s="17">
        <f>C10*3 + C6</f>
        <v>89.955471842193589</v>
      </c>
      <c r="F19" s="17">
        <f>C6</f>
        <v>24.296875</v>
      </c>
      <c r="G19" s="10">
        <f t="shared" si="0"/>
        <v>-89.955471842193589</v>
      </c>
    </row>
    <row r="20" spans="1:7" ht="30" customHeight="1" x14ac:dyDescent="0.2">
      <c r="A20" s="13">
        <v>41944</v>
      </c>
      <c r="B20" s="14">
        <v>72</v>
      </c>
      <c r="C20" s="2"/>
      <c r="D20" s="3"/>
      <c r="E20" s="17">
        <f>C10*3 + C6</f>
        <v>89.955471842193589</v>
      </c>
      <c r="F20" s="17">
        <f>C6</f>
        <v>24.296875</v>
      </c>
      <c r="G20" s="10">
        <f t="shared" si="0"/>
        <v>-89.955471842193589</v>
      </c>
    </row>
    <row r="21" spans="1:7" ht="30" customHeight="1" x14ac:dyDescent="0.2">
      <c r="A21" s="13">
        <v>41974</v>
      </c>
      <c r="B21" s="14">
        <v>46</v>
      </c>
      <c r="C21" s="2"/>
      <c r="D21" s="3"/>
      <c r="E21" s="17">
        <f>C10*3 + C6</f>
        <v>89.955471842193589</v>
      </c>
      <c r="F21" s="17">
        <f>C6</f>
        <v>24.296875</v>
      </c>
      <c r="G21" s="10">
        <f t="shared" si="0"/>
        <v>-89.955471842193589</v>
      </c>
    </row>
    <row r="22" spans="1:7" ht="30" customHeight="1" x14ac:dyDescent="0.2">
      <c r="A22" s="13">
        <v>42005</v>
      </c>
      <c r="B22" s="14">
        <v>20</v>
      </c>
      <c r="C22" s="2"/>
      <c r="D22" s="3"/>
      <c r="E22" s="17">
        <f>C10*3 + C6</f>
        <v>89.955471842193589</v>
      </c>
      <c r="F22" s="17">
        <f>C6</f>
        <v>24.296875</v>
      </c>
      <c r="G22" s="10">
        <f t="shared" si="0"/>
        <v>-89.955471842193589</v>
      </c>
    </row>
    <row r="23" spans="1:7" ht="30" customHeight="1" x14ac:dyDescent="0.2">
      <c r="A23" s="13">
        <v>42036</v>
      </c>
      <c r="B23" s="14">
        <v>24</v>
      </c>
      <c r="C23" s="2"/>
      <c r="D23" s="3"/>
      <c r="E23" s="17">
        <f>C10*3 + C6</f>
        <v>89.955471842193589</v>
      </c>
      <c r="F23" s="17">
        <f>C6</f>
        <v>24.296875</v>
      </c>
      <c r="G23" s="10">
        <f t="shared" si="0"/>
        <v>-89.955471842193589</v>
      </c>
    </row>
    <row r="24" spans="1:7" ht="30" customHeight="1" x14ac:dyDescent="0.2">
      <c r="A24" s="13">
        <v>42064</v>
      </c>
      <c r="B24" s="14">
        <v>46</v>
      </c>
      <c r="C24" s="2"/>
      <c r="D24" s="3"/>
      <c r="E24" s="17">
        <f>C10*3 + C6</f>
        <v>89.955471842193589</v>
      </c>
      <c r="F24" s="17">
        <f>C6</f>
        <v>24.296875</v>
      </c>
      <c r="G24" s="10">
        <f t="shared" si="0"/>
        <v>-89.955471842193589</v>
      </c>
    </row>
    <row r="25" spans="1:7" ht="30" customHeight="1" x14ac:dyDescent="0.2">
      <c r="A25" s="13">
        <v>42095</v>
      </c>
      <c r="B25" s="14">
        <v>39</v>
      </c>
      <c r="C25" s="2"/>
      <c r="D25" s="3"/>
      <c r="E25" s="17">
        <f>C10*3 + C6</f>
        <v>89.955471842193589</v>
      </c>
      <c r="F25" s="17">
        <f>C6</f>
        <v>24.296875</v>
      </c>
      <c r="G25" s="10">
        <f t="shared" si="0"/>
        <v>-89.955471842193589</v>
      </c>
    </row>
    <row r="26" spans="1:7" ht="30" customHeight="1" x14ac:dyDescent="0.2">
      <c r="A26" s="13">
        <v>42125</v>
      </c>
      <c r="B26" s="14">
        <v>25</v>
      </c>
      <c r="C26" s="2"/>
      <c r="D26" s="3"/>
      <c r="E26" s="17">
        <f>C10*3 + C6</f>
        <v>89.955471842193589</v>
      </c>
      <c r="F26" s="17">
        <f>C6</f>
        <v>24.296875</v>
      </c>
      <c r="G26" s="10">
        <f t="shared" si="0"/>
        <v>-89.955471842193589</v>
      </c>
    </row>
    <row r="27" spans="1:7" ht="30" customHeight="1" x14ac:dyDescent="0.2">
      <c r="A27" s="13">
        <v>42156</v>
      </c>
      <c r="B27" s="14">
        <v>61</v>
      </c>
      <c r="C27" s="2"/>
      <c r="D27" s="3"/>
      <c r="E27" s="17">
        <f>C10*3 + C6</f>
        <v>89.955471842193589</v>
      </c>
      <c r="F27" s="17">
        <f>C6</f>
        <v>24.296875</v>
      </c>
      <c r="G27" s="10">
        <f t="shared" si="0"/>
        <v>-89.955471842193589</v>
      </c>
    </row>
    <row r="28" spans="1:7" ht="30" customHeight="1" x14ac:dyDescent="0.2">
      <c r="A28" s="13">
        <v>42186</v>
      </c>
      <c r="B28" s="14">
        <v>33</v>
      </c>
      <c r="C28" s="2"/>
      <c r="D28" s="3"/>
      <c r="E28" s="17">
        <f>C10*3 + C6</f>
        <v>89.955471842193589</v>
      </c>
      <c r="F28" s="17">
        <f>C6</f>
        <v>24.296875</v>
      </c>
      <c r="G28" s="10">
        <f t="shared" si="0"/>
        <v>-89.955471842193589</v>
      </c>
    </row>
    <row r="29" spans="1:7" ht="30" customHeight="1" x14ac:dyDescent="0.2">
      <c r="A29" s="13">
        <v>42217</v>
      </c>
      <c r="B29" s="14">
        <v>50</v>
      </c>
      <c r="C29" s="2"/>
      <c r="D29" s="3"/>
      <c r="E29" s="17">
        <f>C10*3 + C6</f>
        <v>89.955471842193589</v>
      </c>
      <c r="F29" s="17">
        <f>C6</f>
        <v>24.296875</v>
      </c>
      <c r="G29" s="10">
        <f t="shared" si="0"/>
        <v>-89.955471842193589</v>
      </c>
    </row>
    <row r="30" spans="1:7" ht="30" customHeight="1" x14ac:dyDescent="0.2">
      <c r="A30" s="13">
        <v>42248</v>
      </c>
      <c r="B30" s="14">
        <v>72</v>
      </c>
      <c r="C30" s="2"/>
      <c r="D30" s="3"/>
      <c r="E30" s="17">
        <f>C10*3 + C6</f>
        <v>89.955471842193589</v>
      </c>
      <c r="F30" s="17">
        <f>C6</f>
        <v>24.296875</v>
      </c>
      <c r="G30" s="10">
        <f t="shared" si="0"/>
        <v>-89.955471842193589</v>
      </c>
    </row>
    <row r="31" spans="1:7" ht="30" customHeight="1" x14ac:dyDescent="0.2">
      <c r="A31" s="13">
        <v>42278</v>
      </c>
      <c r="B31" s="14">
        <v>52</v>
      </c>
      <c r="C31" s="2"/>
      <c r="D31" s="3"/>
      <c r="E31" s="17">
        <f>C10*3 + C6</f>
        <v>89.955471842193589</v>
      </c>
      <c r="F31" s="17">
        <f>C6</f>
        <v>24.296875</v>
      </c>
      <c r="G31" s="10">
        <f t="shared" si="0"/>
        <v>-89.955471842193589</v>
      </c>
    </row>
    <row r="32" spans="1:7" ht="30" customHeight="1" x14ac:dyDescent="0.2">
      <c r="A32" s="13">
        <v>42309</v>
      </c>
      <c r="B32" s="14">
        <v>35</v>
      </c>
      <c r="C32" s="2"/>
      <c r="D32" s="3"/>
      <c r="E32" s="17">
        <f>C10*3 + C6</f>
        <v>89.955471842193589</v>
      </c>
      <c r="F32" s="17">
        <f>C6</f>
        <v>24.296875</v>
      </c>
      <c r="G32" s="10">
        <f t="shared" si="0"/>
        <v>-89.955471842193589</v>
      </c>
    </row>
    <row r="33" spans="1:7" ht="30" customHeight="1" x14ac:dyDescent="0.2">
      <c r="A33" s="13">
        <v>42339</v>
      </c>
      <c r="B33" s="14">
        <v>45</v>
      </c>
      <c r="C33" s="2"/>
      <c r="D33" s="3"/>
      <c r="E33" s="17">
        <f>C10*3 + C6</f>
        <v>89.955471842193589</v>
      </c>
      <c r="F33" s="17">
        <f>C6</f>
        <v>24.296875</v>
      </c>
      <c r="G33" s="10">
        <f t="shared" si="0"/>
        <v>-89.955471842193589</v>
      </c>
    </row>
    <row r="34" spans="1:7" ht="30" customHeight="1" x14ac:dyDescent="0.2">
      <c r="A34" s="13">
        <v>42370</v>
      </c>
      <c r="B34" s="14">
        <v>65</v>
      </c>
      <c r="C34" s="2"/>
      <c r="D34" s="3"/>
      <c r="E34" s="17">
        <f>C10*3 + C6</f>
        <v>89.955471842193589</v>
      </c>
      <c r="F34" s="17">
        <f>C6</f>
        <v>24.296875</v>
      </c>
      <c r="G34" s="10">
        <f t="shared" ref="G34:G65" si="1">-E34</f>
        <v>-89.955471842193589</v>
      </c>
    </row>
    <row r="35" spans="1:7" ht="30" customHeight="1" x14ac:dyDescent="0.2">
      <c r="A35" s="13">
        <v>42401</v>
      </c>
      <c r="B35" s="14">
        <v>43</v>
      </c>
      <c r="C35" s="2"/>
      <c r="D35" s="3"/>
      <c r="E35" s="17">
        <f>C10*3 + C6</f>
        <v>89.955471842193589</v>
      </c>
      <c r="F35" s="17">
        <f>C6</f>
        <v>24.296875</v>
      </c>
      <c r="G35" s="10">
        <f t="shared" si="1"/>
        <v>-89.955471842193589</v>
      </c>
    </row>
    <row r="36" spans="1:7" ht="30" customHeight="1" x14ac:dyDescent="0.2">
      <c r="A36" s="13">
        <v>42430</v>
      </c>
      <c r="B36" s="14">
        <v>21</v>
      </c>
      <c r="C36" s="2"/>
      <c r="D36" s="3"/>
      <c r="E36" s="17">
        <f>C10*3 + C6</f>
        <v>89.955471842193589</v>
      </c>
      <c r="F36" s="17">
        <f>C6</f>
        <v>24.296875</v>
      </c>
      <c r="G36" s="10">
        <f t="shared" si="1"/>
        <v>-89.955471842193589</v>
      </c>
    </row>
    <row r="37" spans="1:7" ht="30" customHeight="1" x14ac:dyDescent="0.2">
      <c r="A37" s="13">
        <v>42461</v>
      </c>
      <c r="B37" s="14">
        <v>33</v>
      </c>
      <c r="C37" s="2"/>
      <c r="D37" s="3"/>
      <c r="E37" s="17">
        <f>C10*3 + C6</f>
        <v>89.955471842193589</v>
      </c>
      <c r="F37" s="17">
        <f>C6</f>
        <v>24.296875</v>
      </c>
      <c r="G37" s="10">
        <f t="shared" si="1"/>
        <v>-89.955471842193589</v>
      </c>
    </row>
    <row r="38" spans="1:7" ht="30" customHeight="1" x14ac:dyDescent="0.2">
      <c r="A38" s="13">
        <v>42491</v>
      </c>
      <c r="B38" s="14">
        <v>52</v>
      </c>
      <c r="C38" s="2"/>
      <c r="D38" s="3"/>
      <c r="E38" s="17">
        <f>C10*3 + C6</f>
        <v>89.955471842193589</v>
      </c>
      <c r="F38" s="17">
        <f>C6</f>
        <v>24.296875</v>
      </c>
      <c r="G38" s="10">
        <f t="shared" si="1"/>
        <v>-89.955471842193589</v>
      </c>
    </row>
    <row r="39" spans="1:7" ht="30" customHeight="1" x14ac:dyDescent="0.2">
      <c r="A39" s="13">
        <v>42522</v>
      </c>
      <c r="B39" s="14">
        <v>43</v>
      </c>
      <c r="C39" s="2"/>
      <c r="D39" s="3"/>
      <c r="E39" s="17">
        <f>C10*3 + C6</f>
        <v>89.955471842193589</v>
      </c>
      <c r="F39" s="17">
        <f>C6</f>
        <v>24.296875</v>
      </c>
      <c r="G39" s="10">
        <f t="shared" si="1"/>
        <v>-89.955471842193589</v>
      </c>
    </row>
    <row r="40" spans="1:7" ht="30" customHeight="1" x14ac:dyDescent="0.2">
      <c r="A40" s="13">
        <v>42552</v>
      </c>
      <c r="B40" s="14">
        <v>46</v>
      </c>
      <c r="C40" s="2"/>
      <c r="D40" s="3"/>
      <c r="E40" s="17">
        <f>C10*3 + C6</f>
        <v>89.955471842193589</v>
      </c>
      <c r="F40" s="17">
        <f>C6</f>
        <v>24.296875</v>
      </c>
      <c r="G40" s="10">
        <f t="shared" si="1"/>
        <v>-89.955471842193589</v>
      </c>
    </row>
    <row r="41" spans="1:7" ht="30" customHeight="1" x14ac:dyDescent="0.2">
      <c r="A41" s="13">
        <v>42583</v>
      </c>
      <c r="B41" s="14">
        <v>39</v>
      </c>
      <c r="C41" s="2"/>
      <c r="D41" s="3"/>
      <c r="E41" s="17">
        <f>C10*3 + C6</f>
        <v>89.955471842193589</v>
      </c>
      <c r="F41" s="17">
        <f>C6</f>
        <v>24.296875</v>
      </c>
      <c r="G41" s="10">
        <f t="shared" si="1"/>
        <v>-89.955471842193589</v>
      </c>
    </row>
    <row r="42" spans="1:7" ht="30" customHeight="1" x14ac:dyDescent="0.2">
      <c r="A42" s="13">
        <v>42614</v>
      </c>
      <c r="B42" s="14">
        <v>6</v>
      </c>
      <c r="C42" s="2"/>
      <c r="D42" s="3"/>
      <c r="E42" s="17">
        <f>C10*3 + C6</f>
        <v>89.955471842193589</v>
      </c>
      <c r="F42" s="17">
        <f>C6</f>
        <v>24.296875</v>
      </c>
      <c r="G42" s="10">
        <f t="shared" si="1"/>
        <v>-89.955471842193589</v>
      </c>
    </row>
    <row r="43" spans="1:7" ht="30" customHeight="1" x14ac:dyDescent="0.2">
      <c r="A43" s="13">
        <v>42644</v>
      </c>
      <c r="B43" s="14">
        <v>8</v>
      </c>
      <c r="C43" s="2"/>
      <c r="D43" s="3"/>
      <c r="E43" s="17">
        <f>C10*3 + C6</f>
        <v>89.955471842193589</v>
      </c>
      <c r="F43" s="17">
        <f>C6</f>
        <v>24.296875</v>
      </c>
      <c r="G43" s="10">
        <f t="shared" si="1"/>
        <v>-89.955471842193589</v>
      </c>
    </row>
    <row r="44" spans="1:7" ht="30" customHeight="1" x14ac:dyDescent="0.2">
      <c r="A44" s="13">
        <v>42675</v>
      </c>
      <c r="B44" s="14">
        <v>14</v>
      </c>
      <c r="C44" s="2"/>
      <c r="D44" s="3"/>
      <c r="E44" s="17">
        <f>C10*3 + C6</f>
        <v>89.955471842193589</v>
      </c>
      <c r="F44" s="17">
        <f>C6</f>
        <v>24.296875</v>
      </c>
      <c r="G44" s="10">
        <f t="shared" si="1"/>
        <v>-89.955471842193589</v>
      </c>
    </row>
    <row r="45" spans="1:7" ht="30" customHeight="1" x14ac:dyDescent="0.2">
      <c r="A45" s="13">
        <v>42705</v>
      </c>
      <c r="B45" s="14">
        <v>30</v>
      </c>
      <c r="C45" s="2"/>
      <c r="D45" s="3"/>
      <c r="E45" s="17">
        <f>C10*3 + C6</f>
        <v>89.955471842193589</v>
      </c>
      <c r="F45" s="17">
        <f>C6</f>
        <v>24.296875</v>
      </c>
      <c r="G45" s="10">
        <f t="shared" si="1"/>
        <v>-89.955471842193589</v>
      </c>
    </row>
    <row r="46" spans="1:7" ht="30" customHeight="1" x14ac:dyDescent="0.2">
      <c r="A46" s="13">
        <v>42736</v>
      </c>
      <c r="B46" s="14">
        <v>22</v>
      </c>
      <c r="C46" s="2"/>
      <c r="D46" s="3"/>
      <c r="E46" s="17">
        <f>C10*3 + C6</f>
        <v>89.955471842193589</v>
      </c>
      <c r="F46" s="17">
        <f>C6</f>
        <v>24.296875</v>
      </c>
      <c r="G46" s="10">
        <f t="shared" si="1"/>
        <v>-89.955471842193589</v>
      </c>
    </row>
    <row r="47" spans="1:7" ht="30" customHeight="1" x14ac:dyDescent="0.2">
      <c r="A47" s="13">
        <v>42767</v>
      </c>
      <c r="B47" s="14">
        <v>20</v>
      </c>
      <c r="C47" s="2"/>
      <c r="D47" s="3"/>
      <c r="E47" s="17">
        <f>C10*3 + C6</f>
        <v>89.955471842193589</v>
      </c>
      <c r="F47" s="17">
        <f>C6</f>
        <v>24.296875</v>
      </c>
      <c r="G47" s="10">
        <f t="shared" si="1"/>
        <v>-89.955471842193589</v>
      </c>
    </row>
    <row r="48" spans="1:7" ht="30" customHeight="1" x14ac:dyDescent="0.2">
      <c r="A48" s="13">
        <v>42795</v>
      </c>
      <c r="B48" s="14">
        <v>5</v>
      </c>
      <c r="C48" s="2"/>
      <c r="D48" s="3"/>
      <c r="E48" s="17">
        <f>C10*3 + C6</f>
        <v>89.955471842193589</v>
      </c>
      <c r="F48" s="17">
        <f>C6</f>
        <v>24.296875</v>
      </c>
      <c r="G48" s="10">
        <f t="shared" si="1"/>
        <v>-89.955471842193589</v>
      </c>
    </row>
    <row r="49" spans="1:7" ht="30" customHeight="1" x14ac:dyDescent="0.2">
      <c r="A49" s="13">
        <v>42826</v>
      </c>
      <c r="B49" s="14">
        <v>0</v>
      </c>
      <c r="C49" s="2"/>
      <c r="D49" s="3"/>
      <c r="E49" s="17">
        <f>C10*3 + C6</f>
        <v>89.955471842193589</v>
      </c>
      <c r="F49" s="17">
        <f>C6</f>
        <v>24.296875</v>
      </c>
      <c r="G49" s="10">
        <f t="shared" si="1"/>
        <v>-89.955471842193589</v>
      </c>
    </row>
    <row r="50" spans="1:7" ht="30" customHeight="1" x14ac:dyDescent="0.2">
      <c r="A50" s="13">
        <v>42856</v>
      </c>
      <c r="B50" s="14">
        <v>0</v>
      </c>
      <c r="C50" s="2"/>
      <c r="D50" s="3"/>
      <c r="E50" s="17">
        <f>C10*3 + C6</f>
        <v>89.955471842193589</v>
      </c>
      <c r="F50" s="17">
        <f>C6</f>
        <v>24.296875</v>
      </c>
      <c r="G50" s="10">
        <f t="shared" si="1"/>
        <v>-89.955471842193589</v>
      </c>
    </row>
    <row r="51" spans="1:7" ht="30" customHeight="1" x14ac:dyDescent="0.2">
      <c r="A51" s="13">
        <v>42887</v>
      </c>
      <c r="B51" s="14">
        <v>1</v>
      </c>
      <c r="C51" s="2"/>
      <c r="D51" s="3"/>
      <c r="E51" s="17">
        <f>C10*3 + C6</f>
        <v>89.955471842193589</v>
      </c>
      <c r="F51" s="17">
        <f>C6</f>
        <v>24.296875</v>
      </c>
      <c r="G51" s="10">
        <f t="shared" si="1"/>
        <v>-89.955471842193589</v>
      </c>
    </row>
    <row r="52" spans="1:7" ht="30" customHeight="1" x14ac:dyDescent="0.2">
      <c r="A52" s="13">
        <v>42917</v>
      </c>
      <c r="B52" s="14">
        <v>0</v>
      </c>
      <c r="C52" s="2"/>
      <c r="D52" s="3"/>
      <c r="E52" s="17">
        <f>C10*3 + C6</f>
        <v>89.955471842193589</v>
      </c>
      <c r="F52" s="17">
        <f>C6</f>
        <v>24.296875</v>
      </c>
      <c r="G52" s="10">
        <f t="shared" si="1"/>
        <v>-89.955471842193589</v>
      </c>
    </row>
    <row r="53" spans="1:7" ht="30" customHeight="1" x14ac:dyDescent="0.2">
      <c r="A53" s="13">
        <v>42948</v>
      </c>
      <c r="B53" s="14">
        <v>1</v>
      </c>
      <c r="C53" s="2"/>
      <c r="D53" s="3"/>
      <c r="E53" s="17">
        <f>C10*3 + C6</f>
        <v>89.955471842193589</v>
      </c>
      <c r="F53" s="17">
        <f>C6</f>
        <v>24.296875</v>
      </c>
      <c r="G53" s="10">
        <f t="shared" si="1"/>
        <v>-89.955471842193589</v>
      </c>
    </row>
    <row r="54" spans="1:7" ht="30" customHeight="1" x14ac:dyDescent="0.2">
      <c r="A54" s="13">
        <v>42979</v>
      </c>
      <c r="B54" s="14">
        <v>1</v>
      </c>
      <c r="C54" s="2"/>
      <c r="D54" s="3"/>
      <c r="E54" s="17">
        <f>C10*3 + C6</f>
        <v>89.955471842193589</v>
      </c>
      <c r="F54" s="17">
        <f>C6</f>
        <v>24.296875</v>
      </c>
      <c r="G54" s="10">
        <f t="shared" si="1"/>
        <v>-89.955471842193589</v>
      </c>
    </row>
    <row r="55" spans="1:7" ht="30" customHeight="1" x14ac:dyDescent="0.2">
      <c r="A55" s="13">
        <v>43009</v>
      </c>
      <c r="B55" s="14">
        <v>3</v>
      </c>
      <c r="C55" s="2"/>
      <c r="D55" s="3"/>
      <c r="E55" s="17">
        <f>C10*3 + C6</f>
        <v>89.955471842193589</v>
      </c>
      <c r="F55" s="17">
        <f>C6</f>
        <v>24.296875</v>
      </c>
      <c r="G55" s="10">
        <f t="shared" si="1"/>
        <v>-89.955471842193589</v>
      </c>
    </row>
    <row r="56" spans="1:7" ht="30" customHeight="1" x14ac:dyDescent="0.2">
      <c r="A56" s="13">
        <v>43040</v>
      </c>
      <c r="B56" s="14">
        <v>0</v>
      </c>
      <c r="C56" s="2"/>
      <c r="D56" s="3"/>
      <c r="E56" s="17">
        <f>C10*3 + C6</f>
        <v>89.955471842193589</v>
      </c>
      <c r="F56" s="17">
        <f>C6</f>
        <v>24.296875</v>
      </c>
      <c r="G56" s="10">
        <f t="shared" si="1"/>
        <v>-89.955471842193589</v>
      </c>
    </row>
    <row r="57" spans="1:7" ht="30" customHeight="1" x14ac:dyDescent="0.2">
      <c r="A57" s="13">
        <v>43070</v>
      </c>
      <c r="B57" s="14">
        <v>0</v>
      </c>
      <c r="C57" s="2"/>
      <c r="D57" s="3"/>
      <c r="E57" s="17">
        <f>C10*3 + C6</f>
        <v>89.955471842193589</v>
      </c>
      <c r="F57" s="17">
        <f>C6</f>
        <v>24.296875</v>
      </c>
      <c r="G57" s="10">
        <f t="shared" si="1"/>
        <v>-89.955471842193589</v>
      </c>
    </row>
    <row r="58" spans="1:7" ht="30" customHeight="1" x14ac:dyDescent="0.2">
      <c r="A58" s="13">
        <v>43101</v>
      </c>
      <c r="B58" s="14">
        <v>2</v>
      </c>
      <c r="C58" s="2"/>
      <c r="D58" s="3"/>
      <c r="E58" s="17">
        <f>C10*3 + C6</f>
        <v>89.955471842193589</v>
      </c>
      <c r="F58" s="17">
        <f>C6</f>
        <v>24.296875</v>
      </c>
      <c r="G58" s="10">
        <f t="shared" si="1"/>
        <v>-89.955471842193589</v>
      </c>
    </row>
    <row r="59" spans="1:7" ht="30" customHeight="1" x14ac:dyDescent="0.2">
      <c r="A59" s="13">
        <v>43132</v>
      </c>
      <c r="B59" s="14">
        <v>6</v>
      </c>
      <c r="C59" s="2"/>
      <c r="D59" s="3"/>
      <c r="E59" s="17">
        <f>C10*3 + C6</f>
        <v>89.955471842193589</v>
      </c>
      <c r="F59" s="17">
        <f>C6</f>
        <v>24.296875</v>
      </c>
      <c r="G59" s="10">
        <f t="shared" si="1"/>
        <v>-89.955471842193589</v>
      </c>
    </row>
    <row r="60" spans="1:7" ht="30" customHeight="1" x14ac:dyDescent="0.2">
      <c r="A60" s="13">
        <v>43160</v>
      </c>
      <c r="B60" s="14">
        <v>3</v>
      </c>
      <c r="C60" s="2"/>
      <c r="D60" s="3"/>
      <c r="E60" s="17">
        <f>C10*3 + C6</f>
        <v>89.955471842193589</v>
      </c>
      <c r="F60" s="17">
        <f>C6</f>
        <v>24.296875</v>
      </c>
      <c r="G60" s="10">
        <f t="shared" si="1"/>
        <v>-89.955471842193589</v>
      </c>
    </row>
    <row r="61" spans="1:7" ht="30" customHeight="1" x14ac:dyDescent="0.2">
      <c r="A61" s="13">
        <v>43191</v>
      </c>
      <c r="B61" s="14">
        <v>3</v>
      </c>
      <c r="C61" s="2"/>
      <c r="D61" s="3"/>
      <c r="E61" s="17">
        <f>C10*3 + C6</f>
        <v>89.955471842193589</v>
      </c>
      <c r="F61" s="17">
        <f>C6</f>
        <v>24.296875</v>
      </c>
      <c r="G61" s="10">
        <f t="shared" si="1"/>
        <v>-89.955471842193589</v>
      </c>
    </row>
    <row r="62" spans="1:7" ht="30" customHeight="1" x14ac:dyDescent="0.2">
      <c r="A62" s="13">
        <v>43221</v>
      </c>
      <c r="B62" s="14">
        <v>0</v>
      </c>
      <c r="C62" s="2"/>
      <c r="D62" s="3"/>
      <c r="E62" s="17">
        <f>C10*3 + C6</f>
        <v>89.955471842193589</v>
      </c>
      <c r="F62" s="17">
        <f>C6</f>
        <v>24.296875</v>
      </c>
      <c r="G62" s="10">
        <f t="shared" si="1"/>
        <v>-89.955471842193589</v>
      </c>
    </row>
    <row r="63" spans="1:7" ht="30" customHeight="1" x14ac:dyDescent="0.2">
      <c r="A63" s="13">
        <v>43252</v>
      </c>
      <c r="B63" s="14">
        <v>1</v>
      </c>
      <c r="C63" s="2"/>
      <c r="D63" s="3"/>
      <c r="E63" s="17">
        <f>C10*3 + C6</f>
        <v>89.955471842193589</v>
      </c>
      <c r="F63" s="17">
        <f>C6</f>
        <v>24.296875</v>
      </c>
      <c r="G63" s="10">
        <f t="shared" si="1"/>
        <v>-89.955471842193589</v>
      </c>
    </row>
    <row r="64" spans="1:7" ht="30" customHeight="1" x14ac:dyDescent="0.2">
      <c r="A64" s="13">
        <v>43282</v>
      </c>
      <c r="B64" s="14">
        <v>0</v>
      </c>
      <c r="C64" s="2"/>
      <c r="D64" s="3"/>
      <c r="E64" s="17">
        <f>C10*3 + C6</f>
        <v>89.955471842193589</v>
      </c>
      <c r="F64" s="17">
        <f>C6</f>
        <v>24.296875</v>
      </c>
      <c r="G64" s="10">
        <f t="shared" si="1"/>
        <v>-89.955471842193589</v>
      </c>
    </row>
    <row r="65" spans="1:7" ht="30" customHeight="1" x14ac:dyDescent="0.2">
      <c r="A65" s="13">
        <v>43313</v>
      </c>
      <c r="B65" s="15">
        <v>6</v>
      </c>
      <c r="C65" s="2"/>
      <c r="D65" s="3"/>
      <c r="E65" s="17">
        <f>C10*3 + C6</f>
        <v>89.955471842193589</v>
      </c>
      <c r="F65" s="17">
        <f>C6</f>
        <v>24.296875</v>
      </c>
      <c r="G65" s="10">
        <f t="shared" si="1"/>
        <v>-89.955471842193589</v>
      </c>
    </row>
    <row r="66" spans="1:7" ht="30" customHeight="1" x14ac:dyDescent="0.2">
      <c r="A66" s="16"/>
      <c r="B66" s="14"/>
      <c r="C66" s="2"/>
      <c r="D66" s="3"/>
      <c r="E66" s="17">
        <f>C10*3 + C6</f>
        <v>89.955471842193589</v>
      </c>
      <c r="F66" s="17">
        <f>C6</f>
        <v>24.296875</v>
      </c>
      <c r="G66" s="10">
        <f t="shared" ref="G66:G100" si="2">-E66</f>
        <v>-89.955471842193589</v>
      </c>
    </row>
    <row r="67" spans="1:7" ht="30" customHeight="1" x14ac:dyDescent="0.2">
      <c r="A67" s="16"/>
      <c r="B67" s="14"/>
      <c r="C67" s="2"/>
      <c r="D67" s="3"/>
      <c r="E67" s="17">
        <f>C10*3 + C6</f>
        <v>89.955471842193589</v>
      </c>
      <c r="F67" s="17">
        <f>C6</f>
        <v>24.296875</v>
      </c>
      <c r="G67" s="10">
        <f t="shared" si="2"/>
        <v>-89.955471842193589</v>
      </c>
    </row>
    <row r="68" spans="1:7" ht="30" customHeight="1" x14ac:dyDescent="0.2">
      <c r="A68" s="16"/>
      <c r="B68" s="14"/>
      <c r="C68" s="2"/>
      <c r="D68" s="3"/>
      <c r="E68" s="17">
        <f>C10*3 + C6</f>
        <v>89.955471842193589</v>
      </c>
      <c r="F68" s="17">
        <f>C6</f>
        <v>24.296875</v>
      </c>
      <c r="G68" s="10">
        <f t="shared" si="2"/>
        <v>-89.955471842193589</v>
      </c>
    </row>
    <row r="69" spans="1:7" ht="30" customHeight="1" x14ac:dyDescent="0.2">
      <c r="A69" s="16"/>
      <c r="B69" s="14"/>
      <c r="C69" s="2"/>
      <c r="D69" s="3"/>
      <c r="E69" s="17">
        <f>C10*3 + C6</f>
        <v>89.955471842193589</v>
      </c>
      <c r="F69" s="17">
        <f>C6</f>
        <v>24.296875</v>
      </c>
      <c r="G69" s="10">
        <f t="shared" si="2"/>
        <v>-89.955471842193589</v>
      </c>
    </row>
    <row r="70" spans="1:7" ht="30" customHeight="1" x14ac:dyDescent="0.2">
      <c r="A70" s="16"/>
      <c r="B70" s="14"/>
      <c r="C70" s="2"/>
      <c r="D70" s="3"/>
      <c r="E70" s="17">
        <f>C10*3 + C6</f>
        <v>89.955471842193589</v>
      </c>
      <c r="F70" s="17">
        <f>C6</f>
        <v>24.296875</v>
      </c>
      <c r="G70" s="10">
        <f t="shared" si="2"/>
        <v>-89.955471842193589</v>
      </c>
    </row>
    <row r="71" spans="1:7" ht="30" customHeight="1" x14ac:dyDescent="0.2">
      <c r="A71" s="16"/>
      <c r="B71" s="14"/>
      <c r="C71" s="2"/>
      <c r="D71" s="3"/>
      <c r="E71" s="17">
        <f>C10*3 + C6</f>
        <v>89.955471842193589</v>
      </c>
      <c r="F71" s="17">
        <f>C6</f>
        <v>24.296875</v>
      </c>
      <c r="G71" s="10">
        <f t="shared" si="2"/>
        <v>-89.955471842193589</v>
      </c>
    </row>
    <row r="72" spans="1:7" ht="30" customHeight="1" x14ac:dyDescent="0.2">
      <c r="A72" s="16"/>
      <c r="B72" s="14"/>
      <c r="C72" s="2"/>
      <c r="D72" s="3"/>
      <c r="E72" s="17">
        <f>C10*3 + C6</f>
        <v>89.955471842193589</v>
      </c>
      <c r="F72" s="17">
        <f>C6</f>
        <v>24.296875</v>
      </c>
      <c r="G72" s="10">
        <f t="shared" si="2"/>
        <v>-89.955471842193589</v>
      </c>
    </row>
    <row r="73" spans="1:7" ht="30" customHeight="1" x14ac:dyDescent="0.2">
      <c r="A73" s="16"/>
      <c r="B73" s="14"/>
      <c r="C73" s="2"/>
      <c r="D73" s="3"/>
      <c r="E73" s="17">
        <f>C10*3 + C6</f>
        <v>89.955471842193589</v>
      </c>
      <c r="F73" s="17">
        <f>C6</f>
        <v>24.296875</v>
      </c>
      <c r="G73" s="10">
        <f t="shared" si="2"/>
        <v>-89.955471842193589</v>
      </c>
    </row>
    <row r="74" spans="1:7" ht="30" customHeight="1" x14ac:dyDescent="0.2">
      <c r="A74" s="16"/>
      <c r="B74" s="14"/>
      <c r="C74" s="2"/>
      <c r="D74" s="3"/>
      <c r="E74" s="17">
        <f>C10*3 + C6</f>
        <v>89.955471842193589</v>
      </c>
      <c r="F74" s="17">
        <f>C6</f>
        <v>24.296875</v>
      </c>
      <c r="G74" s="10">
        <f t="shared" si="2"/>
        <v>-89.955471842193589</v>
      </c>
    </row>
    <row r="75" spans="1:7" ht="30" customHeight="1" x14ac:dyDescent="0.2">
      <c r="A75" s="16"/>
      <c r="B75" s="14"/>
      <c r="C75" s="2"/>
      <c r="D75" s="3"/>
      <c r="E75" s="17">
        <f>C10*3 + C6</f>
        <v>89.955471842193589</v>
      </c>
      <c r="F75" s="17">
        <f>C6</f>
        <v>24.296875</v>
      </c>
      <c r="G75" s="10">
        <f t="shared" si="2"/>
        <v>-89.955471842193589</v>
      </c>
    </row>
    <row r="76" spans="1:7" ht="30" customHeight="1" x14ac:dyDescent="0.2">
      <c r="A76" s="16"/>
      <c r="B76" s="14"/>
      <c r="C76" s="2"/>
      <c r="D76" s="3"/>
      <c r="E76" s="17">
        <f>C10*3 + C6</f>
        <v>89.955471842193589</v>
      </c>
      <c r="F76" s="17">
        <f>C6</f>
        <v>24.296875</v>
      </c>
      <c r="G76" s="10">
        <f t="shared" si="2"/>
        <v>-89.955471842193589</v>
      </c>
    </row>
    <row r="77" spans="1:7" ht="30" customHeight="1" x14ac:dyDescent="0.2">
      <c r="A77" s="16"/>
      <c r="B77" s="14"/>
      <c r="C77" s="2"/>
      <c r="D77" s="3"/>
      <c r="E77" s="17">
        <f>C10*3 + C6</f>
        <v>89.955471842193589</v>
      </c>
      <c r="F77" s="17">
        <f>C6</f>
        <v>24.296875</v>
      </c>
      <c r="G77" s="10">
        <f t="shared" si="2"/>
        <v>-89.955471842193589</v>
      </c>
    </row>
    <row r="78" spans="1:7" ht="30" customHeight="1" x14ac:dyDescent="0.2">
      <c r="A78" s="16"/>
      <c r="B78" s="14"/>
      <c r="C78" s="2"/>
      <c r="D78" s="3"/>
      <c r="E78" s="17">
        <f>C10*3 + C6</f>
        <v>89.955471842193589</v>
      </c>
      <c r="F78" s="17">
        <f>C6</f>
        <v>24.296875</v>
      </c>
      <c r="G78" s="10">
        <f t="shared" si="2"/>
        <v>-89.955471842193589</v>
      </c>
    </row>
    <row r="79" spans="1:7" ht="30" customHeight="1" x14ac:dyDescent="0.2">
      <c r="A79" s="16"/>
      <c r="B79" s="14"/>
      <c r="C79" s="2"/>
      <c r="D79" s="3"/>
      <c r="E79" s="17">
        <f>C10*3 + C6</f>
        <v>89.955471842193589</v>
      </c>
      <c r="F79" s="17">
        <f>C6</f>
        <v>24.296875</v>
      </c>
      <c r="G79" s="10">
        <f t="shared" si="2"/>
        <v>-89.955471842193589</v>
      </c>
    </row>
    <row r="80" spans="1:7" ht="30" customHeight="1" x14ac:dyDescent="0.2">
      <c r="A80" s="16"/>
      <c r="B80" s="14"/>
      <c r="C80" s="2"/>
      <c r="D80" s="3"/>
      <c r="E80" s="17">
        <f>C10*3 + C6</f>
        <v>89.955471842193589</v>
      </c>
      <c r="F80" s="17">
        <f>C6</f>
        <v>24.296875</v>
      </c>
      <c r="G80" s="10">
        <f t="shared" si="2"/>
        <v>-89.955471842193589</v>
      </c>
    </row>
    <row r="81" spans="1:7" ht="30" customHeight="1" x14ac:dyDescent="0.2">
      <c r="A81" s="16"/>
      <c r="B81" s="14"/>
      <c r="C81" s="2"/>
      <c r="D81" s="3"/>
      <c r="E81" s="17">
        <f>C10*3 + C6</f>
        <v>89.955471842193589</v>
      </c>
      <c r="F81" s="17">
        <f>C6</f>
        <v>24.296875</v>
      </c>
      <c r="G81" s="10">
        <f t="shared" si="2"/>
        <v>-89.955471842193589</v>
      </c>
    </row>
    <row r="82" spans="1:7" ht="30" customHeight="1" x14ac:dyDescent="0.2">
      <c r="A82" s="16"/>
      <c r="B82" s="14"/>
      <c r="C82" s="2"/>
      <c r="D82" s="3"/>
      <c r="E82" s="17">
        <f>C10*3 + C6</f>
        <v>89.955471842193589</v>
      </c>
      <c r="F82" s="17">
        <f>C6</f>
        <v>24.296875</v>
      </c>
      <c r="G82" s="10">
        <f t="shared" si="2"/>
        <v>-89.955471842193589</v>
      </c>
    </row>
    <row r="83" spans="1:7" ht="30" customHeight="1" x14ac:dyDescent="0.2">
      <c r="A83" s="16"/>
      <c r="B83" s="14"/>
      <c r="C83" s="2"/>
      <c r="D83" s="3"/>
      <c r="E83" s="17">
        <f>C10*3 + C6</f>
        <v>89.955471842193589</v>
      </c>
      <c r="F83" s="17">
        <f>C6</f>
        <v>24.296875</v>
      </c>
      <c r="G83" s="10">
        <f t="shared" si="2"/>
        <v>-89.955471842193589</v>
      </c>
    </row>
    <row r="84" spans="1:7" ht="30" customHeight="1" x14ac:dyDescent="0.2">
      <c r="A84" s="16"/>
      <c r="B84" s="14"/>
      <c r="C84" s="2"/>
      <c r="D84" s="3"/>
      <c r="E84" s="17">
        <f>C10*3 + C6</f>
        <v>89.955471842193589</v>
      </c>
      <c r="F84" s="17">
        <f>C6</f>
        <v>24.296875</v>
      </c>
      <c r="G84" s="10">
        <f t="shared" si="2"/>
        <v>-89.955471842193589</v>
      </c>
    </row>
    <row r="85" spans="1:7" ht="30" customHeight="1" x14ac:dyDescent="0.2">
      <c r="A85" s="16"/>
      <c r="B85" s="14"/>
      <c r="C85" s="2"/>
      <c r="D85" s="3"/>
      <c r="E85" s="17">
        <f>C10*3 + C6</f>
        <v>89.955471842193589</v>
      </c>
      <c r="F85" s="17">
        <f>C6</f>
        <v>24.296875</v>
      </c>
      <c r="G85" s="10">
        <f t="shared" si="2"/>
        <v>-89.955471842193589</v>
      </c>
    </row>
    <row r="86" spans="1:7" ht="30" customHeight="1" x14ac:dyDescent="0.2">
      <c r="A86" s="16"/>
      <c r="B86" s="14"/>
      <c r="C86" s="2"/>
      <c r="D86" s="3"/>
      <c r="E86" s="17">
        <f>C10*3 + C6</f>
        <v>89.955471842193589</v>
      </c>
      <c r="F86" s="17">
        <f>C6</f>
        <v>24.296875</v>
      </c>
      <c r="G86" s="10">
        <f t="shared" si="2"/>
        <v>-89.955471842193589</v>
      </c>
    </row>
    <row r="87" spans="1:7" ht="30" customHeight="1" x14ac:dyDescent="0.2">
      <c r="A87" s="16"/>
      <c r="B87" s="14"/>
      <c r="C87" s="2"/>
      <c r="D87" s="3"/>
      <c r="E87" s="17">
        <f>C10*3 + C6</f>
        <v>89.955471842193589</v>
      </c>
      <c r="F87" s="17">
        <f>C6</f>
        <v>24.296875</v>
      </c>
      <c r="G87" s="10">
        <f t="shared" si="2"/>
        <v>-89.955471842193589</v>
      </c>
    </row>
    <row r="88" spans="1:7" ht="30" customHeight="1" x14ac:dyDescent="0.2">
      <c r="A88" s="16"/>
      <c r="B88" s="14"/>
      <c r="C88" s="2"/>
      <c r="D88" s="3"/>
      <c r="E88" s="17">
        <f>C10*3 + C6</f>
        <v>89.955471842193589</v>
      </c>
      <c r="F88" s="17">
        <f>C6</f>
        <v>24.296875</v>
      </c>
      <c r="G88" s="10">
        <f t="shared" si="2"/>
        <v>-89.955471842193589</v>
      </c>
    </row>
    <row r="89" spans="1:7" ht="30" customHeight="1" x14ac:dyDescent="0.2">
      <c r="A89" s="16"/>
      <c r="B89" s="14"/>
      <c r="C89" s="2"/>
      <c r="D89" s="3"/>
      <c r="E89" s="17">
        <f>C10*3 + C6</f>
        <v>89.955471842193589</v>
      </c>
      <c r="F89" s="17">
        <f>C6</f>
        <v>24.296875</v>
      </c>
      <c r="G89" s="10">
        <f t="shared" si="2"/>
        <v>-89.955471842193589</v>
      </c>
    </row>
    <row r="90" spans="1:7" ht="30" customHeight="1" x14ac:dyDescent="0.2">
      <c r="A90" s="16"/>
      <c r="B90" s="14"/>
      <c r="C90" s="2"/>
      <c r="D90" s="3"/>
      <c r="E90" s="17">
        <f>C10*3 + C6</f>
        <v>89.955471842193589</v>
      </c>
      <c r="F90" s="17">
        <f>C6</f>
        <v>24.296875</v>
      </c>
      <c r="G90" s="10">
        <f t="shared" si="2"/>
        <v>-89.955471842193589</v>
      </c>
    </row>
    <row r="91" spans="1:7" ht="30" customHeight="1" x14ac:dyDescent="0.2">
      <c r="A91" s="16"/>
      <c r="B91" s="14"/>
      <c r="C91" s="2"/>
      <c r="D91" s="3"/>
      <c r="E91" s="17">
        <f>C10*3 + C6</f>
        <v>89.955471842193589</v>
      </c>
      <c r="F91" s="17">
        <f>C6</f>
        <v>24.296875</v>
      </c>
      <c r="G91" s="10">
        <f t="shared" si="2"/>
        <v>-89.955471842193589</v>
      </c>
    </row>
    <row r="92" spans="1:7" ht="30" customHeight="1" x14ac:dyDescent="0.2">
      <c r="A92" s="16"/>
      <c r="B92" s="14"/>
      <c r="C92" s="2"/>
      <c r="D92" s="3"/>
      <c r="E92" s="17">
        <f>C10*3 + C6</f>
        <v>89.955471842193589</v>
      </c>
      <c r="F92" s="17">
        <f>C6</f>
        <v>24.296875</v>
      </c>
      <c r="G92" s="10">
        <f t="shared" si="2"/>
        <v>-89.955471842193589</v>
      </c>
    </row>
    <row r="93" spans="1:7" ht="30" customHeight="1" x14ac:dyDescent="0.2">
      <c r="A93" s="16"/>
      <c r="B93" s="14"/>
      <c r="C93" s="2"/>
      <c r="D93" s="3"/>
      <c r="E93" s="17">
        <f>C10*3 + C6</f>
        <v>89.955471842193589</v>
      </c>
      <c r="F93" s="17">
        <f>C6</f>
        <v>24.296875</v>
      </c>
      <c r="G93" s="10">
        <f t="shared" si="2"/>
        <v>-89.955471842193589</v>
      </c>
    </row>
    <row r="94" spans="1:7" ht="30" customHeight="1" x14ac:dyDescent="0.2">
      <c r="A94" s="16"/>
      <c r="B94" s="14"/>
      <c r="C94" s="2"/>
      <c r="D94" s="3"/>
      <c r="E94" s="17">
        <f>C10*3 + C6</f>
        <v>89.955471842193589</v>
      </c>
      <c r="F94" s="17">
        <f>C6</f>
        <v>24.296875</v>
      </c>
      <c r="G94" s="10">
        <f t="shared" si="2"/>
        <v>-89.955471842193589</v>
      </c>
    </row>
    <row r="95" spans="1:7" ht="30" customHeight="1" x14ac:dyDescent="0.2">
      <c r="A95" s="16"/>
      <c r="B95" s="14"/>
      <c r="C95" s="2"/>
      <c r="D95" s="3"/>
      <c r="E95" s="17">
        <f>C10*3 + C6</f>
        <v>89.955471842193589</v>
      </c>
      <c r="F95" s="17">
        <f>C6</f>
        <v>24.296875</v>
      </c>
      <c r="G95" s="10">
        <f t="shared" si="2"/>
        <v>-89.955471842193589</v>
      </c>
    </row>
    <row r="96" spans="1:7" ht="30" customHeight="1" x14ac:dyDescent="0.2">
      <c r="A96" s="16"/>
      <c r="B96" s="14"/>
      <c r="C96" s="2"/>
      <c r="D96" s="3"/>
      <c r="E96" s="17">
        <f>C10*3 + C6</f>
        <v>89.955471842193589</v>
      </c>
      <c r="F96" s="17">
        <f>C6</f>
        <v>24.296875</v>
      </c>
      <c r="G96" s="10">
        <f t="shared" si="2"/>
        <v>-89.955471842193589</v>
      </c>
    </row>
    <row r="97" spans="1:7" ht="30" customHeight="1" x14ac:dyDescent="0.2">
      <c r="A97" s="16"/>
      <c r="B97" s="14"/>
      <c r="C97" s="2"/>
      <c r="D97" s="3"/>
      <c r="E97" s="17">
        <f>C10*3 + C6</f>
        <v>89.955471842193589</v>
      </c>
      <c r="F97" s="17">
        <f>C6</f>
        <v>24.296875</v>
      </c>
      <c r="G97" s="10">
        <f t="shared" si="2"/>
        <v>-89.955471842193589</v>
      </c>
    </row>
    <row r="98" spans="1:7" ht="30" customHeight="1" x14ac:dyDescent="0.2">
      <c r="A98" s="16"/>
      <c r="B98" s="14"/>
      <c r="C98" s="2"/>
      <c r="D98" s="3"/>
      <c r="E98" s="17">
        <f>C10*3 + C6</f>
        <v>89.955471842193589</v>
      </c>
      <c r="F98" s="17">
        <f>C6</f>
        <v>24.296875</v>
      </c>
      <c r="G98" s="10">
        <f t="shared" si="2"/>
        <v>-89.955471842193589</v>
      </c>
    </row>
    <row r="99" spans="1:7" ht="30" customHeight="1" x14ac:dyDescent="0.2">
      <c r="A99" s="16"/>
      <c r="B99" s="14"/>
      <c r="C99" s="2"/>
      <c r="D99" s="3"/>
      <c r="E99" s="17">
        <f>C10*3 + C6</f>
        <v>89.955471842193589</v>
      </c>
      <c r="F99" s="17">
        <f>C6</f>
        <v>24.296875</v>
      </c>
      <c r="G99" s="10">
        <f t="shared" si="2"/>
        <v>-89.955471842193589</v>
      </c>
    </row>
    <row r="100" spans="1:7" ht="30" customHeight="1" x14ac:dyDescent="0.2">
      <c r="A100" s="16"/>
      <c r="B100" s="14"/>
      <c r="C100" s="2"/>
      <c r="D100" s="3"/>
      <c r="E100" s="17">
        <f>C10*3 + C6</f>
        <v>89.955471842193589</v>
      </c>
      <c r="F100" s="17">
        <f>C6</f>
        <v>24.296875</v>
      </c>
      <c r="G100" s="10">
        <f t="shared" si="2"/>
        <v>-89.955471842193589</v>
      </c>
    </row>
    <row r="101" spans="1:7" x14ac:dyDescent="0.2">
      <c r="F101" s="1"/>
      <c r="G101" s="1"/>
    </row>
    <row r="102" spans="1:7" x14ac:dyDescent="0.2">
      <c r="F102" s="1"/>
      <c r="G102" s="1"/>
    </row>
  </sheetData>
  <mergeCells count="13">
    <mergeCell ref="C19:D100"/>
    <mergeCell ref="C9:D9"/>
    <mergeCell ref="C3:D4"/>
    <mergeCell ref="C7:D8"/>
    <mergeCell ref="C1:D1"/>
    <mergeCell ref="C2:D2"/>
    <mergeCell ref="C5:D5"/>
    <mergeCell ref="C6:D6"/>
    <mergeCell ref="C10:D10"/>
    <mergeCell ref="C13:D13"/>
    <mergeCell ref="C14:D14"/>
    <mergeCell ref="C11:D12"/>
    <mergeCell ref="C15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2021-03-14T15:10:55Z</dcterms:created>
  <dcterms:modified xsi:type="dcterms:W3CDTF">2021-03-19T13:26:47Z</dcterms:modified>
</cp:coreProperties>
</file>